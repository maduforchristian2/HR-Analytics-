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ocuments\DATA ANALYST PORTFOLIO\PROJECT _05. HR_Analytics\"/>
    </mc:Choice>
  </mc:AlternateContent>
  <xr:revisionPtr revIDLastSave="0" documentId="8_{B94BB8F4-9553-4129-AC97-A0264BF794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HR_Analytics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8" i="1"/>
  <c r="D57" i="1"/>
  <c r="D56" i="1"/>
  <c r="D55" i="1"/>
</calcChain>
</file>

<file path=xl/sharedStrings.xml><?xml version="1.0" encoding="utf-8"?>
<sst xmlns="http://schemas.openxmlformats.org/spreadsheetml/2006/main" count="457" uniqueCount="157">
  <si>
    <t>Employee_ID</t>
  </si>
  <si>
    <t>Employee_Name</t>
  </si>
  <si>
    <t>Gender</t>
  </si>
  <si>
    <t>Age</t>
  </si>
  <si>
    <t>Department</t>
  </si>
  <si>
    <t>Job_Role</t>
  </si>
  <si>
    <t>Salary</t>
  </si>
  <si>
    <t>Experience_Years</t>
  </si>
  <si>
    <t>Performance_Rating</t>
  </si>
  <si>
    <t>Education</t>
  </si>
  <si>
    <t>City</t>
  </si>
  <si>
    <t>Employment_Status</t>
  </si>
  <si>
    <t>Hire_Date</t>
  </si>
  <si>
    <t>Employee 1</t>
  </si>
  <si>
    <t>Male</t>
  </si>
  <si>
    <t>IT</t>
  </si>
  <si>
    <t>Data Analyst</t>
  </si>
  <si>
    <t>BSc</t>
  </si>
  <si>
    <t>Lagos</t>
  </si>
  <si>
    <t>Active</t>
  </si>
  <si>
    <t>01/01/2024</t>
  </si>
  <si>
    <t>Employee 2</t>
  </si>
  <si>
    <t>Female</t>
  </si>
  <si>
    <t>HR</t>
  </si>
  <si>
    <t>HR Officer</t>
  </si>
  <si>
    <t>HND</t>
  </si>
  <si>
    <t>Abuja</t>
  </si>
  <si>
    <t>02/02/2024</t>
  </si>
  <si>
    <t>Employee 3</t>
  </si>
  <si>
    <t>Finance</t>
  </si>
  <si>
    <t>Accountant</t>
  </si>
  <si>
    <t>MSc</t>
  </si>
  <si>
    <t>Port Harcourt</t>
  </si>
  <si>
    <t>On Leave</t>
  </si>
  <si>
    <t>03/03/2024</t>
  </si>
  <si>
    <t>Employee 4</t>
  </si>
  <si>
    <t>Sales</t>
  </si>
  <si>
    <t>Sales Rep</t>
  </si>
  <si>
    <t>OND</t>
  </si>
  <si>
    <t>Enugu</t>
  </si>
  <si>
    <t>Resigned</t>
  </si>
  <si>
    <t>04/04/2024</t>
  </si>
  <si>
    <t>Employee 5</t>
  </si>
  <si>
    <t>Marketing</t>
  </si>
  <si>
    <t>Marketing Exec</t>
  </si>
  <si>
    <t>Owerri</t>
  </si>
  <si>
    <t>05/05/2024</t>
  </si>
  <si>
    <t>Employee 6</t>
  </si>
  <si>
    <t>Operations</t>
  </si>
  <si>
    <t>Operations Officer</t>
  </si>
  <si>
    <t>Kano</t>
  </si>
  <si>
    <t>06/06/2024</t>
  </si>
  <si>
    <t>Employee 7</t>
  </si>
  <si>
    <t>07/07/2024</t>
  </si>
  <si>
    <t>Employee 8</t>
  </si>
  <si>
    <t>08/08/2024</t>
  </si>
  <si>
    <t>Employee 9</t>
  </si>
  <si>
    <t>09/09/2024</t>
  </si>
  <si>
    <t>Employee 10</t>
  </si>
  <si>
    <t>10/10/2024</t>
  </si>
  <si>
    <t>Employee 11</t>
  </si>
  <si>
    <t>11/11/2024</t>
  </si>
  <si>
    <t>Employee 12</t>
  </si>
  <si>
    <t>12/12/2024</t>
  </si>
  <si>
    <t>Employee 13</t>
  </si>
  <si>
    <t>13/01/2024</t>
  </si>
  <si>
    <t>Employee 14</t>
  </si>
  <si>
    <t>14/02/2024</t>
  </si>
  <si>
    <t>Employee 15</t>
  </si>
  <si>
    <t>15/03/2024</t>
  </si>
  <si>
    <t>Employee 16</t>
  </si>
  <si>
    <t>16/04/2024</t>
  </si>
  <si>
    <t>Employee 17</t>
  </si>
  <si>
    <t>17/05/2024</t>
  </si>
  <si>
    <t>Employee 18</t>
  </si>
  <si>
    <t>18/06/2024</t>
  </si>
  <si>
    <t>Employee 19</t>
  </si>
  <si>
    <t>19/07/2024</t>
  </si>
  <si>
    <t>Employee 20</t>
  </si>
  <si>
    <t>20/08/2024</t>
  </si>
  <si>
    <t>Employee 21</t>
  </si>
  <si>
    <t>21/09/2024</t>
  </si>
  <si>
    <t>Employee 22</t>
  </si>
  <si>
    <t>22/10/2024</t>
  </si>
  <si>
    <t>Employee 23</t>
  </si>
  <si>
    <t>23/11/2024</t>
  </si>
  <si>
    <t>Employee 24</t>
  </si>
  <si>
    <t>24/12/2024</t>
  </si>
  <si>
    <t>Employee 25</t>
  </si>
  <si>
    <t>25/01/2024</t>
  </si>
  <si>
    <t>Employee 26</t>
  </si>
  <si>
    <t>26/02/2024</t>
  </si>
  <si>
    <t>Employee 27</t>
  </si>
  <si>
    <t>27/03/2024</t>
  </si>
  <si>
    <t>Employee 28</t>
  </si>
  <si>
    <t>28/04/2024</t>
  </si>
  <si>
    <t>Employee 29</t>
  </si>
  <si>
    <t>01/05/2024</t>
  </si>
  <si>
    <t>Employee 30</t>
  </si>
  <si>
    <t>02/06/2024</t>
  </si>
  <si>
    <t>Employee 31</t>
  </si>
  <si>
    <t>03/07/2024</t>
  </si>
  <si>
    <t>Employee 32</t>
  </si>
  <si>
    <t>04/08/2024</t>
  </si>
  <si>
    <t>Employee 33</t>
  </si>
  <si>
    <t>05/09/2024</t>
  </si>
  <si>
    <t>Employee 34</t>
  </si>
  <si>
    <t>06/10/2024</t>
  </si>
  <si>
    <t>Employee 35</t>
  </si>
  <si>
    <t>07/11/2024</t>
  </si>
  <si>
    <t>Employee 36</t>
  </si>
  <si>
    <t>08/12/2024</t>
  </si>
  <si>
    <t>Employee 37</t>
  </si>
  <si>
    <t>09/01/2024</t>
  </si>
  <si>
    <t>Employee 38</t>
  </si>
  <si>
    <t>10/02/2024</t>
  </si>
  <si>
    <t>Employee 39</t>
  </si>
  <si>
    <t>11/03/2024</t>
  </si>
  <si>
    <t>Employee 40</t>
  </si>
  <si>
    <t>12/04/2024</t>
  </si>
  <si>
    <t>Employee 41</t>
  </si>
  <si>
    <t>13/05/2024</t>
  </si>
  <si>
    <t>Employee 42</t>
  </si>
  <si>
    <t>14/06/2024</t>
  </si>
  <si>
    <t>Employee 43</t>
  </si>
  <si>
    <t>15/07/2024</t>
  </si>
  <si>
    <t>Employee 44</t>
  </si>
  <si>
    <t>16/08/2024</t>
  </si>
  <si>
    <t>Employee 45</t>
  </si>
  <si>
    <t>17/09/2024</t>
  </si>
  <si>
    <t>Employee 46</t>
  </si>
  <si>
    <t>18/10/2024</t>
  </si>
  <si>
    <t>Employee 47</t>
  </si>
  <si>
    <t>19/11/2024</t>
  </si>
  <si>
    <t>Employee 48</t>
  </si>
  <si>
    <t>20/12/2024</t>
  </si>
  <si>
    <t>Employee 49</t>
  </si>
  <si>
    <t>21/01/2024</t>
  </si>
  <si>
    <t>Employee 50</t>
  </si>
  <si>
    <t>22/02/2024</t>
  </si>
  <si>
    <t xml:space="preserve">Highest salary </t>
  </si>
  <si>
    <t xml:space="preserve">Lowest salary </t>
  </si>
  <si>
    <t xml:space="preserve">Average age </t>
  </si>
  <si>
    <t>Employees by gender</t>
  </si>
  <si>
    <t>Employees by city</t>
  </si>
  <si>
    <t>Highest paid department</t>
  </si>
  <si>
    <t>Average performance rating</t>
  </si>
  <si>
    <t>Total employees</t>
  </si>
  <si>
    <t>Average salary</t>
  </si>
  <si>
    <t>Employees by  department</t>
  </si>
  <si>
    <t>Row Labels</t>
  </si>
  <si>
    <t>Grand Total</t>
  </si>
  <si>
    <t>Count of Department</t>
  </si>
  <si>
    <t>Count of Gender</t>
  </si>
  <si>
    <t>Count of City</t>
  </si>
  <si>
    <t>Sum of Salary</t>
  </si>
  <si>
    <t>Average of Performance_Rating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</si>
</sst>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6.535116782405" createdVersion="8" refreshedVersion="8" minRefreshableVersion="3" recordCount="50" xr:uid="{8A6A4A8D-4D24-49CF-8281-27F0138F30C6}">
  <cacheSource type="worksheet">
    <worksheetSource ref="A1:M51" sheet="HR_Analytics"/>
  </cacheSource>
  <cacheFields count="13">
    <cacheField name="Employee_ID" numFmtId="0">
      <sharedItems containsSemiMixedTypes="0" containsString="0" containsNumber="1" containsInteger="1" minValue="2001" maxValue="2050" count="50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Employee_Name" numFmtId="0">
      <sharedItems count="50">
        <s v="Employee 1"/>
        <s v="Employee 2"/>
        <s v="Employee 3"/>
        <s v="Employee 4"/>
        <s v="Employee 5"/>
        <s v="Employee 6"/>
        <s v="Employee 7"/>
        <s v="Employee 8"/>
        <s v="Employee 9"/>
        <s v="Employee 10"/>
        <s v="Employee 11"/>
        <s v="Employee 12"/>
        <s v="Employee 13"/>
        <s v="Employee 14"/>
        <s v="Employee 15"/>
        <s v="Employee 16"/>
        <s v="Employee 17"/>
        <s v="Employee 18"/>
        <s v="Employee 19"/>
        <s v="Employee 20"/>
        <s v="Employee 21"/>
        <s v="Employee 22"/>
        <s v="Employee 23"/>
        <s v="Employee 24"/>
        <s v="Employee 25"/>
        <s v="Employee 26"/>
        <s v="Employee 27"/>
        <s v="Employee 28"/>
        <s v="Employee 29"/>
        <s v="Employee 30"/>
        <s v="Employee 31"/>
        <s v="Employee 32"/>
        <s v="Employee 33"/>
        <s v="Employee 34"/>
        <s v="Employee 35"/>
        <s v="Employee 36"/>
        <s v="Employee 37"/>
        <s v="Employee 38"/>
        <s v="Employee 39"/>
        <s v="Employee 40"/>
        <s v="Employee 41"/>
        <s v="Employee 42"/>
        <s v="Employee 43"/>
        <s v="Employee 44"/>
        <s v="Employee 45"/>
        <s v="Employee 46"/>
        <s v="Employee 47"/>
        <s v="Employee 48"/>
        <s v="Employee 49"/>
        <s v="Employee 5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0"/>
    </cacheField>
    <cacheField name="Department" numFmtId="0">
      <sharedItems count="6">
        <s v="IT"/>
        <s v="HR"/>
        <s v="Finance"/>
        <s v="Sales"/>
        <s v="Marketing"/>
        <s v="Operations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180000" maxValue="630000"/>
    </cacheField>
    <cacheField name="Experience_Years" numFmtId="0">
      <sharedItems containsSemiMixedTypes="0" containsString="0" containsNumber="1" containsInteger="1" minValue="1" maxValue="10"/>
    </cacheField>
    <cacheField name="Performance_Rating" numFmtId="0">
      <sharedItems containsSemiMixedTypes="0" containsString="0" containsNumber="1" containsInteger="1" minValue="3" maxValue="5" count="3">
        <n v="3"/>
        <n v="4"/>
        <n v="5"/>
      </sharedItems>
    </cacheField>
    <cacheField name="Education" numFmtId="0">
      <sharedItems/>
    </cacheField>
    <cacheField name="City" numFmtId="0">
      <sharedItems count="6">
        <s v="Lagos"/>
        <s v="Abuja"/>
        <s v="Port Harcourt"/>
        <s v="Enugu"/>
        <s v="Owerri"/>
        <s v="Kano"/>
      </sharedItems>
    </cacheField>
    <cacheField name="Employment_Status" numFmtId="0">
      <sharedItems/>
    </cacheField>
    <cacheField name="Hire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23"/>
    <x v="0"/>
    <s v="Data Analyst"/>
    <n v="180000"/>
    <n v="1"/>
    <x v="0"/>
    <s v="BSc"/>
    <x v="0"/>
    <s v="Active"/>
    <s v="01/01/2024"/>
  </r>
  <r>
    <x v="1"/>
    <x v="1"/>
    <x v="1"/>
    <n v="24"/>
    <x v="1"/>
    <s v="HR Officer"/>
    <n v="230000"/>
    <n v="2"/>
    <x v="1"/>
    <s v="HND"/>
    <x v="1"/>
    <s v="Active"/>
    <s v="02/02/2024"/>
  </r>
  <r>
    <x v="2"/>
    <x v="2"/>
    <x v="0"/>
    <n v="25"/>
    <x v="2"/>
    <s v="Accountant"/>
    <n v="280000"/>
    <n v="3"/>
    <x v="2"/>
    <s v="MSc"/>
    <x v="2"/>
    <s v="On Leave"/>
    <s v="03/03/2024"/>
  </r>
  <r>
    <x v="3"/>
    <x v="3"/>
    <x v="1"/>
    <n v="26"/>
    <x v="3"/>
    <s v="Sales Rep"/>
    <n v="330000"/>
    <n v="4"/>
    <x v="0"/>
    <s v="OND"/>
    <x v="3"/>
    <s v="Resigned"/>
    <s v="04/04/2024"/>
  </r>
  <r>
    <x v="4"/>
    <x v="4"/>
    <x v="0"/>
    <n v="27"/>
    <x v="4"/>
    <s v="Marketing Exec"/>
    <n v="380000"/>
    <n v="5"/>
    <x v="1"/>
    <s v="BSc"/>
    <x v="4"/>
    <s v="Active"/>
    <s v="05/05/2024"/>
  </r>
  <r>
    <x v="5"/>
    <x v="5"/>
    <x v="1"/>
    <n v="28"/>
    <x v="5"/>
    <s v="Operations Officer"/>
    <n v="430000"/>
    <n v="6"/>
    <x v="2"/>
    <s v="HND"/>
    <x v="5"/>
    <s v="Active"/>
    <s v="06/06/2024"/>
  </r>
  <r>
    <x v="6"/>
    <x v="6"/>
    <x v="0"/>
    <n v="29"/>
    <x v="0"/>
    <s v="Data Analyst"/>
    <n v="480000"/>
    <n v="7"/>
    <x v="0"/>
    <s v="MSc"/>
    <x v="0"/>
    <s v="On Leave"/>
    <s v="07/07/2024"/>
  </r>
  <r>
    <x v="7"/>
    <x v="7"/>
    <x v="1"/>
    <n v="30"/>
    <x v="1"/>
    <s v="HR Officer"/>
    <n v="530000"/>
    <n v="8"/>
    <x v="1"/>
    <s v="OND"/>
    <x v="1"/>
    <s v="Resigned"/>
    <s v="08/08/2024"/>
  </r>
  <r>
    <x v="8"/>
    <x v="8"/>
    <x v="0"/>
    <n v="31"/>
    <x v="2"/>
    <s v="Accountant"/>
    <n v="580000"/>
    <n v="9"/>
    <x v="2"/>
    <s v="BSc"/>
    <x v="2"/>
    <s v="Active"/>
    <s v="09/09/2024"/>
  </r>
  <r>
    <x v="9"/>
    <x v="9"/>
    <x v="1"/>
    <n v="32"/>
    <x v="3"/>
    <s v="Sales Rep"/>
    <n v="630000"/>
    <n v="10"/>
    <x v="0"/>
    <s v="HND"/>
    <x v="3"/>
    <s v="Active"/>
    <s v="10/10/2024"/>
  </r>
  <r>
    <x v="10"/>
    <x v="10"/>
    <x v="0"/>
    <n v="33"/>
    <x v="4"/>
    <s v="Marketing Exec"/>
    <n v="180000"/>
    <n v="1"/>
    <x v="1"/>
    <s v="MSc"/>
    <x v="4"/>
    <s v="On Leave"/>
    <s v="11/11/2024"/>
  </r>
  <r>
    <x v="11"/>
    <x v="11"/>
    <x v="1"/>
    <n v="34"/>
    <x v="5"/>
    <s v="Operations Officer"/>
    <n v="230000"/>
    <n v="2"/>
    <x v="2"/>
    <s v="OND"/>
    <x v="5"/>
    <s v="Resigned"/>
    <s v="12/12/2024"/>
  </r>
  <r>
    <x v="12"/>
    <x v="12"/>
    <x v="0"/>
    <n v="35"/>
    <x v="0"/>
    <s v="Data Analyst"/>
    <n v="280000"/>
    <n v="3"/>
    <x v="0"/>
    <s v="BSc"/>
    <x v="0"/>
    <s v="Active"/>
    <s v="13/01/2024"/>
  </r>
  <r>
    <x v="13"/>
    <x v="13"/>
    <x v="1"/>
    <n v="36"/>
    <x v="1"/>
    <s v="HR Officer"/>
    <n v="330000"/>
    <n v="4"/>
    <x v="1"/>
    <s v="HND"/>
    <x v="1"/>
    <s v="Active"/>
    <s v="14/02/2024"/>
  </r>
  <r>
    <x v="14"/>
    <x v="14"/>
    <x v="0"/>
    <n v="37"/>
    <x v="2"/>
    <s v="Accountant"/>
    <n v="380000"/>
    <n v="5"/>
    <x v="2"/>
    <s v="MSc"/>
    <x v="2"/>
    <s v="On Leave"/>
    <s v="15/03/2024"/>
  </r>
  <r>
    <x v="15"/>
    <x v="15"/>
    <x v="1"/>
    <n v="38"/>
    <x v="3"/>
    <s v="Sales Rep"/>
    <n v="430000"/>
    <n v="6"/>
    <x v="0"/>
    <s v="OND"/>
    <x v="3"/>
    <s v="Resigned"/>
    <s v="16/04/2024"/>
  </r>
  <r>
    <x v="16"/>
    <x v="16"/>
    <x v="0"/>
    <n v="39"/>
    <x v="4"/>
    <s v="Marketing Exec"/>
    <n v="480000"/>
    <n v="7"/>
    <x v="1"/>
    <s v="BSc"/>
    <x v="4"/>
    <s v="Active"/>
    <s v="17/05/2024"/>
  </r>
  <r>
    <x v="17"/>
    <x v="17"/>
    <x v="1"/>
    <n v="40"/>
    <x v="5"/>
    <s v="Operations Officer"/>
    <n v="530000"/>
    <n v="8"/>
    <x v="2"/>
    <s v="HND"/>
    <x v="5"/>
    <s v="Active"/>
    <s v="18/06/2024"/>
  </r>
  <r>
    <x v="18"/>
    <x v="18"/>
    <x v="0"/>
    <n v="22"/>
    <x v="0"/>
    <s v="Data Analyst"/>
    <n v="580000"/>
    <n v="9"/>
    <x v="0"/>
    <s v="MSc"/>
    <x v="0"/>
    <s v="On Leave"/>
    <s v="19/07/2024"/>
  </r>
  <r>
    <x v="19"/>
    <x v="19"/>
    <x v="1"/>
    <n v="23"/>
    <x v="1"/>
    <s v="HR Officer"/>
    <n v="630000"/>
    <n v="10"/>
    <x v="1"/>
    <s v="OND"/>
    <x v="1"/>
    <s v="Resigned"/>
    <s v="20/08/2024"/>
  </r>
  <r>
    <x v="20"/>
    <x v="20"/>
    <x v="0"/>
    <n v="24"/>
    <x v="2"/>
    <s v="Accountant"/>
    <n v="180000"/>
    <n v="1"/>
    <x v="2"/>
    <s v="BSc"/>
    <x v="2"/>
    <s v="Active"/>
    <s v="21/09/2024"/>
  </r>
  <r>
    <x v="21"/>
    <x v="21"/>
    <x v="1"/>
    <n v="25"/>
    <x v="3"/>
    <s v="Sales Rep"/>
    <n v="230000"/>
    <n v="2"/>
    <x v="0"/>
    <s v="HND"/>
    <x v="3"/>
    <s v="Active"/>
    <s v="22/10/2024"/>
  </r>
  <r>
    <x v="22"/>
    <x v="22"/>
    <x v="0"/>
    <n v="26"/>
    <x v="4"/>
    <s v="Marketing Exec"/>
    <n v="280000"/>
    <n v="3"/>
    <x v="1"/>
    <s v="MSc"/>
    <x v="4"/>
    <s v="On Leave"/>
    <s v="23/11/2024"/>
  </r>
  <r>
    <x v="23"/>
    <x v="23"/>
    <x v="1"/>
    <n v="27"/>
    <x v="5"/>
    <s v="Operations Officer"/>
    <n v="330000"/>
    <n v="4"/>
    <x v="2"/>
    <s v="OND"/>
    <x v="5"/>
    <s v="Resigned"/>
    <s v="24/12/2024"/>
  </r>
  <r>
    <x v="24"/>
    <x v="24"/>
    <x v="0"/>
    <n v="28"/>
    <x v="0"/>
    <s v="Data Analyst"/>
    <n v="380000"/>
    <n v="5"/>
    <x v="0"/>
    <s v="BSc"/>
    <x v="0"/>
    <s v="Active"/>
    <s v="25/01/2024"/>
  </r>
  <r>
    <x v="25"/>
    <x v="25"/>
    <x v="1"/>
    <n v="29"/>
    <x v="1"/>
    <s v="HR Officer"/>
    <n v="430000"/>
    <n v="6"/>
    <x v="1"/>
    <s v="HND"/>
    <x v="1"/>
    <s v="Active"/>
    <s v="26/02/2024"/>
  </r>
  <r>
    <x v="26"/>
    <x v="26"/>
    <x v="0"/>
    <n v="30"/>
    <x v="2"/>
    <s v="Accountant"/>
    <n v="480000"/>
    <n v="7"/>
    <x v="2"/>
    <s v="MSc"/>
    <x v="2"/>
    <s v="On Leave"/>
    <s v="27/03/2024"/>
  </r>
  <r>
    <x v="27"/>
    <x v="27"/>
    <x v="1"/>
    <n v="31"/>
    <x v="3"/>
    <s v="Sales Rep"/>
    <n v="530000"/>
    <n v="8"/>
    <x v="0"/>
    <s v="OND"/>
    <x v="3"/>
    <s v="Resigned"/>
    <s v="28/04/2024"/>
  </r>
  <r>
    <x v="28"/>
    <x v="28"/>
    <x v="0"/>
    <n v="32"/>
    <x v="4"/>
    <s v="Marketing Exec"/>
    <n v="580000"/>
    <n v="9"/>
    <x v="1"/>
    <s v="BSc"/>
    <x v="4"/>
    <s v="Active"/>
    <s v="01/05/2024"/>
  </r>
  <r>
    <x v="29"/>
    <x v="29"/>
    <x v="1"/>
    <n v="33"/>
    <x v="5"/>
    <s v="Operations Officer"/>
    <n v="630000"/>
    <n v="10"/>
    <x v="2"/>
    <s v="HND"/>
    <x v="5"/>
    <s v="Active"/>
    <s v="02/06/2024"/>
  </r>
  <r>
    <x v="30"/>
    <x v="30"/>
    <x v="0"/>
    <n v="34"/>
    <x v="0"/>
    <s v="Data Analyst"/>
    <n v="180000"/>
    <n v="1"/>
    <x v="0"/>
    <s v="MSc"/>
    <x v="0"/>
    <s v="On Leave"/>
    <s v="03/07/2024"/>
  </r>
  <r>
    <x v="31"/>
    <x v="31"/>
    <x v="1"/>
    <n v="35"/>
    <x v="1"/>
    <s v="HR Officer"/>
    <n v="230000"/>
    <n v="2"/>
    <x v="1"/>
    <s v="OND"/>
    <x v="1"/>
    <s v="Resigned"/>
    <s v="04/08/2024"/>
  </r>
  <r>
    <x v="32"/>
    <x v="32"/>
    <x v="0"/>
    <n v="36"/>
    <x v="2"/>
    <s v="Accountant"/>
    <n v="280000"/>
    <n v="3"/>
    <x v="2"/>
    <s v="BSc"/>
    <x v="2"/>
    <s v="Active"/>
    <s v="05/09/2024"/>
  </r>
  <r>
    <x v="33"/>
    <x v="33"/>
    <x v="1"/>
    <n v="37"/>
    <x v="3"/>
    <s v="Sales Rep"/>
    <n v="330000"/>
    <n v="4"/>
    <x v="0"/>
    <s v="HND"/>
    <x v="3"/>
    <s v="Active"/>
    <s v="06/10/2024"/>
  </r>
  <r>
    <x v="34"/>
    <x v="34"/>
    <x v="0"/>
    <n v="38"/>
    <x v="4"/>
    <s v="Marketing Exec"/>
    <n v="380000"/>
    <n v="5"/>
    <x v="1"/>
    <s v="MSc"/>
    <x v="4"/>
    <s v="On Leave"/>
    <s v="07/11/2024"/>
  </r>
  <r>
    <x v="35"/>
    <x v="35"/>
    <x v="1"/>
    <n v="39"/>
    <x v="5"/>
    <s v="Operations Officer"/>
    <n v="430000"/>
    <n v="6"/>
    <x v="2"/>
    <s v="OND"/>
    <x v="5"/>
    <s v="Resigned"/>
    <s v="08/12/2024"/>
  </r>
  <r>
    <x v="36"/>
    <x v="36"/>
    <x v="0"/>
    <n v="40"/>
    <x v="0"/>
    <s v="Data Analyst"/>
    <n v="480000"/>
    <n v="7"/>
    <x v="0"/>
    <s v="BSc"/>
    <x v="0"/>
    <s v="Active"/>
    <s v="09/01/2024"/>
  </r>
  <r>
    <x v="37"/>
    <x v="37"/>
    <x v="1"/>
    <n v="22"/>
    <x v="1"/>
    <s v="HR Officer"/>
    <n v="530000"/>
    <n v="8"/>
    <x v="1"/>
    <s v="HND"/>
    <x v="1"/>
    <s v="Active"/>
    <s v="10/02/2024"/>
  </r>
  <r>
    <x v="38"/>
    <x v="38"/>
    <x v="0"/>
    <n v="23"/>
    <x v="2"/>
    <s v="Accountant"/>
    <n v="580000"/>
    <n v="9"/>
    <x v="2"/>
    <s v="MSc"/>
    <x v="2"/>
    <s v="On Leave"/>
    <s v="11/03/2024"/>
  </r>
  <r>
    <x v="39"/>
    <x v="39"/>
    <x v="1"/>
    <n v="24"/>
    <x v="3"/>
    <s v="Sales Rep"/>
    <n v="630000"/>
    <n v="10"/>
    <x v="0"/>
    <s v="OND"/>
    <x v="3"/>
    <s v="Resigned"/>
    <s v="12/04/2024"/>
  </r>
  <r>
    <x v="40"/>
    <x v="40"/>
    <x v="0"/>
    <n v="25"/>
    <x v="4"/>
    <s v="Marketing Exec"/>
    <n v="180000"/>
    <n v="1"/>
    <x v="1"/>
    <s v="BSc"/>
    <x v="4"/>
    <s v="Active"/>
    <s v="13/05/2024"/>
  </r>
  <r>
    <x v="41"/>
    <x v="41"/>
    <x v="1"/>
    <n v="26"/>
    <x v="5"/>
    <s v="Operations Officer"/>
    <n v="230000"/>
    <n v="2"/>
    <x v="2"/>
    <s v="HND"/>
    <x v="5"/>
    <s v="Active"/>
    <s v="14/06/2024"/>
  </r>
  <r>
    <x v="42"/>
    <x v="42"/>
    <x v="0"/>
    <n v="27"/>
    <x v="0"/>
    <s v="Data Analyst"/>
    <n v="280000"/>
    <n v="3"/>
    <x v="0"/>
    <s v="MSc"/>
    <x v="0"/>
    <s v="On Leave"/>
    <s v="15/07/2024"/>
  </r>
  <r>
    <x v="43"/>
    <x v="43"/>
    <x v="1"/>
    <n v="28"/>
    <x v="1"/>
    <s v="HR Officer"/>
    <n v="330000"/>
    <n v="4"/>
    <x v="1"/>
    <s v="OND"/>
    <x v="1"/>
    <s v="Resigned"/>
    <s v="16/08/2024"/>
  </r>
  <r>
    <x v="44"/>
    <x v="44"/>
    <x v="0"/>
    <n v="29"/>
    <x v="2"/>
    <s v="Accountant"/>
    <n v="380000"/>
    <n v="5"/>
    <x v="2"/>
    <s v="BSc"/>
    <x v="2"/>
    <s v="Active"/>
    <s v="17/09/2024"/>
  </r>
  <r>
    <x v="45"/>
    <x v="45"/>
    <x v="1"/>
    <n v="30"/>
    <x v="3"/>
    <s v="Sales Rep"/>
    <n v="430000"/>
    <n v="6"/>
    <x v="0"/>
    <s v="HND"/>
    <x v="3"/>
    <s v="Active"/>
    <s v="18/10/2024"/>
  </r>
  <r>
    <x v="46"/>
    <x v="46"/>
    <x v="0"/>
    <n v="31"/>
    <x v="4"/>
    <s v="Marketing Exec"/>
    <n v="480000"/>
    <n v="7"/>
    <x v="1"/>
    <s v="MSc"/>
    <x v="4"/>
    <s v="On Leave"/>
    <s v="19/11/2024"/>
  </r>
  <r>
    <x v="47"/>
    <x v="47"/>
    <x v="1"/>
    <n v="32"/>
    <x v="5"/>
    <s v="Operations Officer"/>
    <n v="530000"/>
    <n v="8"/>
    <x v="2"/>
    <s v="OND"/>
    <x v="5"/>
    <s v="Resigned"/>
    <s v="20/12/2024"/>
  </r>
  <r>
    <x v="48"/>
    <x v="48"/>
    <x v="0"/>
    <n v="33"/>
    <x v="0"/>
    <s v="Data Analyst"/>
    <n v="580000"/>
    <n v="9"/>
    <x v="0"/>
    <s v="BSc"/>
    <x v="0"/>
    <s v="Active"/>
    <s v="21/01/2024"/>
  </r>
  <r>
    <x v="49"/>
    <x v="49"/>
    <x v="1"/>
    <n v="34"/>
    <x v="1"/>
    <s v="HR Officer"/>
    <n v="630000"/>
    <n v="10"/>
    <x v="1"/>
    <s v="HND"/>
    <x v="1"/>
    <s v="Active"/>
    <s v="22/02/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BB4FD-61E3-4DA4-90A3-CDF24E7013E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H1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erformance_Rating" fld="8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F79AB-610B-47B0-BE5D-DB0DD6C26EE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DE4F4-B900-4604-83EF-CA8B98B0D03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erformance_Rating" fld="8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A0A70-4F79-4AD3-8FDD-CFFF3A906A6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20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1"/>
    </i>
    <i>
      <x v="5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Salar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1A2A-C104-4D00-8015-7AD06EF2542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5"/>
        <item x="0"/>
        <item x="4"/>
        <item x="2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ity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A2C70-156B-4657-9EE0-AE4B9B29C89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3">
    <pivotField showAll="0"/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95D1-DBCB-4AC7-961F-C93316D0D679}">
  <dimension ref="A3:I21"/>
  <sheetViews>
    <sheetView tabSelected="1" topLeftCell="A2" workbookViewId="0">
      <selection activeCell="I20" sqref="I20"/>
    </sheetView>
  </sheetViews>
  <sheetFormatPr defaultRowHeight="15" x14ac:dyDescent="0.25"/>
  <cols>
    <col min="1" max="1" width="29.7109375" bestFit="1" customWidth="1"/>
    <col min="2" max="2" width="26.140625" bestFit="1" customWidth="1"/>
    <col min="3" max="3" width="3.42578125" bestFit="1" customWidth="1"/>
    <col min="4" max="4" width="2.5703125" bestFit="1" customWidth="1"/>
    <col min="5" max="5" width="13.140625" bestFit="1" customWidth="1"/>
    <col min="6" max="6" width="15.85546875" bestFit="1" customWidth="1"/>
    <col min="7" max="7" width="5.5703125" bestFit="1" customWidth="1"/>
    <col min="8" max="9" width="29.7109375" bestFit="1" customWidth="1"/>
    <col min="11" max="11" width="13.140625" bestFit="1" customWidth="1"/>
    <col min="12" max="12" width="12.85546875" bestFit="1" customWidth="1"/>
  </cols>
  <sheetData>
    <row r="3" spans="1:9" x14ac:dyDescent="0.25">
      <c r="A3" s="5" t="s">
        <v>150</v>
      </c>
      <c r="B3" t="s">
        <v>152</v>
      </c>
      <c r="E3" s="5" t="s">
        <v>150</v>
      </c>
      <c r="F3" t="s">
        <v>153</v>
      </c>
      <c r="H3" s="5" t="s">
        <v>150</v>
      </c>
      <c r="I3" t="s">
        <v>154</v>
      </c>
    </row>
    <row r="4" spans="1:9" x14ac:dyDescent="0.25">
      <c r="A4" s="4" t="s">
        <v>29</v>
      </c>
      <c r="B4">
        <v>8</v>
      </c>
      <c r="E4" s="4" t="s">
        <v>22</v>
      </c>
      <c r="F4">
        <v>25</v>
      </c>
      <c r="H4" s="4" t="s">
        <v>26</v>
      </c>
      <c r="I4">
        <v>9</v>
      </c>
    </row>
    <row r="5" spans="1:9" x14ac:dyDescent="0.25">
      <c r="A5" s="4" t="s">
        <v>23</v>
      </c>
      <c r="B5">
        <v>9</v>
      </c>
      <c r="E5" s="4" t="s">
        <v>14</v>
      </c>
      <c r="F5">
        <v>25</v>
      </c>
      <c r="H5" s="4" t="s">
        <v>39</v>
      </c>
      <c r="I5">
        <v>8</v>
      </c>
    </row>
    <row r="6" spans="1:9" x14ac:dyDescent="0.25">
      <c r="A6" s="4" t="s">
        <v>15</v>
      </c>
      <c r="B6">
        <v>9</v>
      </c>
      <c r="E6" s="4" t="s">
        <v>151</v>
      </c>
      <c r="F6">
        <v>50</v>
      </c>
      <c r="H6" s="4" t="s">
        <v>50</v>
      </c>
      <c r="I6">
        <v>8</v>
      </c>
    </row>
    <row r="7" spans="1:9" x14ac:dyDescent="0.25">
      <c r="A7" s="4" t="s">
        <v>43</v>
      </c>
      <c r="B7">
        <v>8</v>
      </c>
      <c r="H7" s="4" t="s">
        <v>18</v>
      </c>
      <c r="I7">
        <v>9</v>
      </c>
    </row>
    <row r="8" spans="1:9" x14ac:dyDescent="0.25">
      <c r="A8" s="4" t="s">
        <v>48</v>
      </c>
      <c r="B8">
        <v>8</v>
      </c>
      <c r="H8" s="4" t="s">
        <v>45</v>
      </c>
      <c r="I8">
        <v>8</v>
      </c>
    </row>
    <row r="9" spans="1:9" x14ac:dyDescent="0.25">
      <c r="A9" s="4" t="s">
        <v>36</v>
      </c>
      <c r="B9">
        <v>8</v>
      </c>
      <c r="H9" s="4" t="s">
        <v>32</v>
      </c>
      <c r="I9">
        <v>8</v>
      </c>
    </row>
    <row r="10" spans="1:9" x14ac:dyDescent="0.25">
      <c r="A10" s="4" t="s">
        <v>151</v>
      </c>
      <c r="B10">
        <v>50</v>
      </c>
      <c r="H10" s="4" t="s">
        <v>151</v>
      </c>
      <c r="I10">
        <v>50</v>
      </c>
    </row>
    <row r="13" spans="1:9" x14ac:dyDescent="0.25">
      <c r="A13" t="s">
        <v>156</v>
      </c>
      <c r="E13" s="5" t="s">
        <v>150</v>
      </c>
      <c r="F13" t="s">
        <v>155</v>
      </c>
      <c r="H13" t="s">
        <v>156</v>
      </c>
    </row>
    <row r="14" spans="1:9" x14ac:dyDescent="0.25">
      <c r="A14" s="1">
        <v>3.98</v>
      </c>
      <c r="E14" s="4" t="s">
        <v>23</v>
      </c>
      <c r="F14">
        <v>3870000</v>
      </c>
      <c r="H14" s="6">
        <v>3.98</v>
      </c>
    </row>
    <row r="15" spans="1:9" x14ac:dyDescent="0.25">
      <c r="E15" s="4" t="s">
        <v>36</v>
      </c>
      <c r="F15">
        <v>3540000</v>
      </c>
    </row>
    <row r="16" spans="1:9" x14ac:dyDescent="0.25">
      <c r="E16" s="4" t="s">
        <v>15</v>
      </c>
      <c r="F16">
        <v>3420000</v>
      </c>
    </row>
    <row r="17" spans="1:6" x14ac:dyDescent="0.25">
      <c r="A17" s="4" t="s">
        <v>149</v>
      </c>
      <c r="E17" s="4" t="s">
        <v>48</v>
      </c>
      <c r="F17">
        <v>3340000</v>
      </c>
    </row>
    <row r="18" spans="1:6" x14ac:dyDescent="0.25">
      <c r="A18" s="4" t="s">
        <v>143</v>
      </c>
      <c r="E18" s="4" t="s">
        <v>29</v>
      </c>
      <c r="F18">
        <v>3140000</v>
      </c>
    </row>
    <row r="19" spans="1:6" x14ac:dyDescent="0.25">
      <c r="A19" s="4" t="s">
        <v>144</v>
      </c>
      <c r="E19" s="4" t="s">
        <v>43</v>
      </c>
      <c r="F19">
        <v>2940000</v>
      </c>
    </row>
    <row r="20" spans="1:6" x14ac:dyDescent="0.25">
      <c r="A20" s="4" t="s">
        <v>145</v>
      </c>
      <c r="E20" s="4" t="s">
        <v>151</v>
      </c>
      <c r="F20">
        <v>20250000</v>
      </c>
    </row>
    <row r="21" spans="1:6" x14ac:dyDescent="0.25">
      <c r="A21" s="4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workbookViewId="0">
      <selection sqref="A1:M51"/>
    </sheetView>
  </sheetViews>
  <sheetFormatPr defaultRowHeight="15" x14ac:dyDescent="0.25"/>
  <cols>
    <col min="1" max="1" width="26.42578125" style="1" bestFit="1" customWidth="1"/>
    <col min="2" max="2" width="17.7109375" bestFit="1" customWidth="1"/>
    <col min="5" max="5" width="12.85546875" bestFit="1" customWidth="1"/>
    <col min="6" max="6" width="17.7109375" bestFit="1" customWidth="1"/>
    <col min="8" max="8" width="18.140625" style="1" bestFit="1" customWidth="1"/>
    <col min="9" max="9" width="21.42578125" style="1" bestFit="1" customWidth="1"/>
    <col min="10" max="10" width="9.7109375" bestFit="1" customWidth="1"/>
    <col min="11" max="11" width="12.7109375" bestFit="1" customWidth="1"/>
    <col min="12" max="12" width="21" bestFit="1" customWidth="1"/>
    <col min="13" max="13" width="10.7109375" bestFit="1" customWidth="1"/>
  </cols>
  <sheetData>
    <row r="1" spans="1:13" s="3" customFormat="1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>
        <v>2001</v>
      </c>
      <c r="B2" t="s">
        <v>13</v>
      </c>
      <c r="C2" t="s">
        <v>14</v>
      </c>
      <c r="D2">
        <v>23</v>
      </c>
      <c r="E2" t="s">
        <v>15</v>
      </c>
      <c r="F2" t="s">
        <v>16</v>
      </c>
      <c r="G2">
        <v>180000</v>
      </c>
      <c r="H2" s="1">
        <v>1</v>
      </c>
      <c r="I2" s="1">
        <v>3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s="1">
        <v>2002</v>
      </c>
      <c r="B3" t="s">
        <v>21</v>
      </c>
      <c r="C3" t="s">
        <v>22</v>
      </c>
      <c r="D3">
        <v>24</v>
      </c>
      <c r="E3" t="s">
        <v>23</v>
      </c>
      <c r="F3" t="s">
        <v>24</v>
      </c>
      <c r="G3">
        <v>230000</v>
      </c>
      <c r="H3" s="1">
        <v>2</v>
      </c>
      <c r="I3" s="1">
        <v>4</v>
      </c>
      <c r="J3" t="s">
        <v>25</v>
      </c>
      <c r="K3" t="s">
        <v>26</v>
      </c>
      <c r="L3" t="s">
        <v>19</v>
      </c>
      <c r="M3" t="s">
        <v>27</v>
      </c>
    </row>
    <row r="4" spans="1:13" x14ac:dyDescent="0.25">
      <c r="A4" s="1">
        <v>2003</v>
      </c>
      <c r="B4" t="s">
        <v>28</v>
      </c>
      <c r="C4" t="s">
        <v>14</v>
      </c>
      <c r="D4">
        <v>25</v>
      </c>
      <c r="E4" t="s">
        <v>29</v>
      </c>
      <c r="F4" t="s">
        <v>30</v>
      </c>
      <c r="G4">
        <v>280000</v>
      </c>
      <c r="H4" s="1">
        <v>3</v>
      </c>
      <c r="I4" s="1">
        <v>5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s="1">
        <v>2004</v>
      </c>
      <c r="B5" t="s">
        <v>35</v>
      </c>
      <c r="C5" t="s">
        <v>22</v>
      </c>
      <c r="D5">
        <v>26</v>
      </c>
      <c r="E5" t="s">
        <v>36</v>
      </c>
      <c r="F5" t="s">
        <v>37</v>
      </c>
      <c r="G5">
        <v>330000</v>
      </c>
      <c r="H5" s="1">
        <v>4</v>
      </c>
      <c r="I5" s="1">
        <v>3</v>
      </c>
      <c r="J5" t="s">
        <v>38</v>
      </c>
      <c r="K5" t="s">
        <v>39</v>
      </c>
      <c r="L5" t="s">
        <v>40</v>
      </c>
      <c r="M5" t="s">
        <v>41</v>
      </c>
    </row>
    <row r="6" spans="1:13" x14ac:dyDescent="0.25">
      <c r="A6" s="1">
        <v>2005</v>
      </c>
      <c r="B6" t="s">
        <v>42</v>
      </c>
      <c r="C6" t="s">
        <v>14</v>
      </c>
      <c r="D6">
        <v>27</v>
      </c>
      <c r="E6" t="s">
        <v>43</v>
      </c>
      <c r="F6" t="s">
        <v>44</v>
      </c>
      <c r="G6">
        <v>380000</v>
      </c>
      <c r="H6" s="1">
        <v>5</v>
      </c>
      <c r="I6" s="1">
        <v>4</v>
      </c>
      <c r="J6" t="s">
        <v>17</v>
      </c>
      <c r="K6" t="s">
        <v>45</v>
      </c>
      <c r="L6" t="s">
        <v>19</v>
      </c>
      <c r="M6" t="s">
        <v>46</v>
      </c>
    </row>
    <row r="7" spans="1:13" x14ac:dyDescent="0.25">
      <c r="A7" s="1">
        <v>2006</v>
      </c>
      <c r="B7" t="s">
        <v>47</v>
      </c>
      <c r="C7" t="s">
        <v>22</v>
      </c>
      <c r="D7">
        <v>28</v>
      </c>
      <c r="E7" t="s">
        <v>48</v>
      </c>
      <c r="F7" t="s">
        <v>49</v>
      </c>
      <c r="G7">
        <v>430000</v>
      </c>
      <c r="H7" s="1">
        <v>6</v>
      </c>
      <c r="I7" s="1">
        <v>5</v>
      </c>
      <c r="J7" t="s">
        <v>25</v>
      </c>
      <c r="K7" t="s">
        <v>50</v>
      </c>
      <c r="L7" t="s">
        <v>19</v>
      </c>
      <c r="M7" t="s">
        <v>51</v>
      </c>
    </row>
    <row r="8" spans="1:13" x14ac:dyDescent="0.25">
      <c r="A8" s="1">
        <v>2007</v>
      </c>
      <c r="B8" t="s">
        <v>52</v>
      </c>
      <c r="C8" t="s">
        <v>14</v>
      </c>
      <c r="D8">
        <v>29</v>
      </c>
      <c r="E8" t="s">
        <v>15</v>
      </c>
      <c r="F8" t="s">
        <v>16</v>
      </c>
      <c r="G8">
        <v>480000</v>
      </c>
      <c r="H8" s="1">
        <v>7</v>
      </c>
      <c r="I8" s="1">
        <v>3</v>
      </c>
      <c r="J8" t="s">
        <v>31</v>
      </c>
      <c r="K8" t="s">
        <v>18</v>
      </c>
      <c r="L8" t="s">
        <v>33</v>
      </c>
      <c r="M8" t="s">
        <v>53</v>
      </c>
    </row>
    <row r="9" spans="1:13" x14ac:dyDescent="0.25">
      <c r="A9" s="1">
        <v>2008</v>
      </c>
      <c r="B9" t="s">
        <v>54</v>
      </c>
      <c r="C9" t="s">
        <v>22</v>
      </c>
      <c r="D9">
        <v>30</v>
      </c>
      <c r="E9" t="s">
        <v>23</v>
      </c>
      <c r="F9" t="s">
        <v>24</v>
      </c>
      <c r="G9">
        <v>530000</v>
      </c>
      <c r="H9" s="1">
        <v>8</v>
      </c>
      <c r="I9" s="1">
        <v>4</v>
      </c>
      <c r="J9" t="s">
        <v>38</v>
      </c>
      <c r="K9" t="s">
        <v>26</v>
      </c>
      <c r="L9" t="s">
        <v>40</v>
      </c>
      <c r="M9" t="s">
        <v>55</v>
      </c>
    </row>
    <row r="10" spans="1:13" x14ac:dyDescent="0.25">
      <c r="A10" s="1">
        <v>2009</v>
      </c>
      <c r="B10" t="s">
        <v>56</v>
      </c>
      <c r="C10" t="s">
        <v>14</v>
      </c>
      <c r="D10">
        <v>31</v>
      </c>
      <c r="E10" t="s">
        <v>29</v>
      </c>
      <c r="F10" t="s">
        <v>30</v>
      </c>
      <c r="G10">
        <v>580000</v>
      </c>
      <c r="H10" s="1">
        <v>9</v>
      </c>
      <c r="I10" s="1">
        <v>5</v>
      </c>
      <c r="J10" t="s">
        <v>17</v>
      </c>
      <c r="K10" t="s">
        <v>32</v>
      </c>
      <c r="L10" t="s">
        <v>19</v>
      </c>
      <c r="M10" t="s">
        <v>57</v>
      </c>
    </row>
    <row r="11" spans="1:13" x14ac:dyDescent="0.25">
      <c r="A11" s="1">
        <v>2010</v>
      </c>
      <c r="B11" t="s">
        <v>58</v>
      </c>
      <c r="C11" t="s">
        <v>22</v>
      </c>
      <c r="D11">
        <v>32</v>
      </c>
      <c r="E11" t="s">
        <v>36</v>
      </c>
      <c r="F11" t="s">
        <v>37</v>
      </c>
      <c r="G11">
        <v>630000</v>
      </c>
      <c r="H11" s="1">
        <v>10</v>
      </c>
      <c r="I11" s="1">
        <v>3</v>
      </c>
      <c r="J11" t="s">
        <v>25</v>
      </c>
      <c r="K11" t="s">
        <v>39</v>
      </c>
      <c r="L11" t="s">
        <v>19</v>
      </c>
      <c r="M11" t="s">
        <v>59</v>
      </c>
    </row>
    <row r="12" spans="1:13" x14ac:dyDescent="0.25">
      <c r="A12" s="1">
        <v>2011</v>
      </c>
      <c r="B12" t="s">
        <v>60</v>
      </c>
      <c r="C12" t="s">
        <v>14</v>
      </c>
      <c r="D12">
        <v>33</v>
      </c>
      <c r="E12" t="s">
        <v>43</v>
      </c>
      <c r="F12" t="s">
        <v>44</v>
      </c>
      <c r="G12">
        <v>180000</v>
      </c>
      <c r="H12" s="1">
        <v>1</v>
      </c>
      <c r="I12" s="1">
        <v>4</v>
      </c>
      <c r="J12" t="s">
        <v>31</v>
      </c>
      <c r="K12" t="s">
        <v>45</v>
      </c>
      <c r="L12" t="s">
        <v>33</v>
      </c>
      <c r="M12" t="s">
        <v>61</v>
      </c>
    </row>
    <row r="13" spans="1:13" x14ac:dyDescent="0.25">
      <c r="A13" s="1">
        <v>2012</v>
      </c>
      <c r="B13" t="s">
        <v>62</v>
      </c>
      <c r="C13" t="s">
        <v>22</v>
      </c>
      <c r="D13">
        <v>34</v>
      </c>
      <c r="E13" t="s">
        <v>48</v>
      </c>
      <c r="F13" t="s">
        <v>49</v>
      </c>
      <c r="G13">
        <v>230000</v>
      </c>
      <c r="H13" s="1">
        <v>2</v>
      </c>
      <c r="I13" s="1">
        <v>5</v>
      </c>
      <c r="J13" t="s">
        <v>38</v>
      </c>
      <c r="K13" t="s">
        <v>50</v>
      </c>
      <c r="L13" t="s">
        <v>40</v>
      </c>
      <c r="M13" t="s">
        <v>63</v>
      </c>
    </row>
    <row r="14" spans="1:13" x14ac:dyDescent="0.25">
      <c r="A14" s="1">
        <v>2013</v>
      </c>
      <c r="B14" t="s">
        <v>64</v>
      </c>
      <c r="C14" t="s">
        <v>14</v>
      </c>
      <c r="D14">
        <v>35</v>
      </c>
      <c r="E14" t="s">
        <v>15</v>
      </c>
      <c r="F14" t="s">
        <v>16</v>
      </c>
      <c r="G14">
        <v>280000</v>
      </c>
      <c r="H14" s="1">
        <v>3</v>
      </c>
      <c r="I14" s="1">
        <v>3</v>
      </c>
      <c r="J14" t="s">
        <v>17</v>
      </c>
      <c r="K14" t="s">
        <v>18</v>
      </c>
      <c r="L14" t="s">
        <v>19</v>
      </c>
      <c r="M14" t="s">
        <v>65</v>
      </c>
    </row>
    <row r="15" spans="1:13" x14ac:dyDescent="0.25">
      <c r="A15" s="1">
        <v>2014</v>
      </c>
      <c r="B15" t="s">
        <v>66</v>
      </c>
      <c r="C15" t="s">
        <v>22</v>
      </c>
      <c r="D15">
        <v>36</v>
      </c>
      <c r="E15" t="s">
        <v>23</v>
      </c>
      <c r="F15" t="s">
        <v>24</v>
      </c>
      <c r="G15">
        <v>330000</v>
      </c>
      <c r="H15" s="1">
        <v>4</v>
      </c>
      <c r="I15" s="1">
        <v>4</v>
      </c>
      <c r="J15" t="s">
        <v>25</v>
      </c>
      <c r="K15" t="s">
        <v>26</v>
      </c>
      <c r="L15" t="s">
        <v>19</v>
      </c>
      <c r="M15" t="s">
        <v>67</v>
      </c>
    </row>
    <row r="16" spans="1:13" x14ac:dyDescent="0.25">
      <c r="A16" s="1">
        <v>2015</v>
      </c>
      <c r="B16" t="s">
        <v>68</v>
      </c>
      <c r="C16" t="s">
        <v>14</v>
      </c>
      <c r="D16">
        <v>37</v>
      </c>
      <c r="E16" t="s">
        <v>29</v>
      </c>
      <c r="F16" t="s">
        <v>30</v>
      </c>
      <c r="G16">
        <v>380000</v>
      </c>
      <c r="H16" s="1">
        <v>5</v>
      </c>
      <c r="I16" s="1">
        <v>5</v>
      </c>
      <c r="J16" t="s">
        <v>31</v>
      </c>
      <c r="K16" t="s">
        <v>32</v>
      </c>
      <c r="L16" t="s">
        <v>33</v>
      </c>
      <c r="M16" t="s">
        <v>69</v>
      </c>
    </row>
    <row r="17" spans="1:13" x14ac:dyDescent="0.25">
      <c r="A17" s="1">
        <v>2016</v>
      </c>
      <c r="B17" t="s">
        <v>70</v>
      </c>
      <c r="C17" t="s">
        <v>22</v>
      </c>
      <c r="D17">
        <v>38</v>
      </c>
      <c r="E17" t="s">
        <v>36</v>
      </c>
      <c r="F17" t="s">
        <v>37</v>
      </c>
      <c r="G17">
        <v>430000</v>
      </c>
      <c r="H17" s="1">
        <v>6</v>
      </c>
      <c r="I17" s="1">
        <v>3</v>
      </c>
      <c r="J17" t="s">
        <v>38</v>
      </c>
      <c r="K17" t="s">
        <v>39</v>
      </c>
      <c r="L17" t="s">
        <v>40</v>
      </c>
      <c r="M17" t="s">
        <v>71</v>
      </c>
    </row>
    <row r="18" spans="1:13" x14ac:dyDescent="0.25">
      <c r="A18" s="1">
        <v>2017</v>
      </c>
      <c r="B18" t="s">
        <v>72</v>
      </c>
      <c r="C18" t="s">
        <v>14</v>
      </c>
      <c r="D18">
        <v>39</v>
      </c>
      <c r="E18" t="s">
        <v>43</v>
      </c>
      <c r="F18" t="s">
        <v>44</v>
      </c>
      <c r="G18">
        <v>480000</v>
      </c>
      <c r="H18" s="1">
        <v>7</v>
      </c>
      <c r="I18" s="1">
        <v>4</v>
      </c>
      <c r="J18" t="s">
        <v>17</v>
      </c>
      <c r="K18" t="s">
        <v>45</v>
      </c>
      <c r="L18" t="s">
        <v>19</v>
      </c>
      <c r="M18" t="s">
        <v>73</v>
      </c>
    </row>
    <row r="19" spans="1:13" x14ac:dyDescent="0.25">
      <c r="A19" s="1">
        <v>2018</v>
      </c>
      <c r="B19" t="s">
        <v>74</v>
      </c>
      <c r="C19" t="s">
        <v>22</v>
      </c>
      <c r="D19">
        <v>40</v>
      </c>
      <c r="E19" t="s">
        <v>48</v>
      </c>
      <c r="F19" t="s">
        <v>49</v>
      </c>
      <c r="G19">
        <v>530000</v>
      </c>
      <c r="H19" s="1">
        <v>8</v>
      </c>
      <c r="I19" s="1">
        <v>5</v>
      </c>
      <c r="J19" t="s">
        <v>25</v>
      </c>
      <c r="K19" t="s">
        <v>50</v>
      </c>
      <c r="L19" t="s">
        <v>19</v>
      </c>
      <c r="M19" t="s">
        <v>75</v>
      </c>
    </row>
    <row r="20" spans="1:13" x14ac:dyDescent="0.25">
      <c r="A20" s="1">
        <v>2019</v>
      </c>
      <c r="B20" t="s">
        <v>76</v>
      </c>
      <c r="C20" t="s">
        <v>14</v>
      </c>
      <c r="D20">
        <v>22</v>
      </c>
      <c r="E20" t="s">
        <v>15</v>
      </c>
      <c r="F20" t="s">
        <v>16</v>
      </c>
      <c r="G20">
        <v>580000</v>
      </c>
      <c r="H20" s="1">
        <v>9</v>
      </c>
      <c r="I20" s="1">
        <v>3</v>
      </c>
      <c r="J20" t="s">
        <v>31</v>
      </c>
      <c r="K20" t="s">
        <v>18</v>
      </c>
      <c r="L20" t="s">
        <v>33</v>
      </c>
      <c r="M20" t="s">
        <v>77</v>
      </c>
    </row>
    <row r="21" spans="1:13" x14ac:dyDescent="0.25">
      <c r="A21" s="1">
        <v>2020</v>
      </c>
      <c r="B21" t="s">
        <v>78</v>
      </c>
      <c r="C21" t="s">
        <v>22</v>
      </c>
      <c r="D21">
        <v>23</v>
      </c>
      <c r="E21" t="s">
        <v>23</v>
      </c>
      <c r="F21" t="s">
        <v>24</v>
      </c>
      <c r="G21">
        <v>630000</v>
      </c>
      <c r="H21" s="1">
        <v>10</v>
      </c>
      <c r="I21" s="1">
        <v>4</v>
      </c>
      <c r="J21" t="s">
        <v>38</v>
      </c>
      <c r="K21" t="s">
        <v>26</v>
      </c>
      <c r="L21" t="s">
        <v>40</v>
      </c>
      <c r="M21" t="s">
        <v>79</v>
      </c>
    </row>
    <row r="22" spans="1:13" x14ac:dyDescent="0.25">
      <c r="A22" s="1">
        <v>2021</v>
      </c>
      <c r="B22" t="s">
        <v>80</v>
      </c>
      <c r="C22" t="s">
        <v>14</v>
      </c>
      <c r="D22">
        <v>24</v>
      </c>
      <c r="E22" t="s">
        <v>29</v>
      </c>
      <c r="F22" t="s">
        <v>30</v>
      </c>
      <c r="G22">
        <v>180000</v>
      </c>
      <c r="H22" s="1">
        <v>1</v>
      </c>
      <c r="I22" s="1">
        <v>5</v>
      </c>
      <c r="J22" t="s">
        <v>17</v>
      </c>
      <c r="K22" t="s">
        <v>32</v>
      </c>
      <c r="L22" t="s">
        <v>19</v>
      </c>
      <c r="M22" t="s">
        <v>81</v>
      </c>
    </row>
    <row r="23" spans="1:13" x14ac:dyDescent="0.25">
      <c r="A23" s="1">
        <v>2022</v>
      </c>
      <c r="B23" t="s">
        <v>82</v>
      </c>
      <c r="C23" t="s">
        <v>22</v>
      </c>
      <c r="D23">
        <v>25</v>
      </c>
      <c r="E23" t="s">
        <v>36</v>
      </c>
      <c r="F23" t="s">
        <v>37</v>
      </c>
      <c r="G23">
        <v>230000</v>
      </c>
      <c r="H23" s="1">
        <v>2</v>
      </c>
      <c r="I23" s="1">
        <v>3</v>
      </c>
      <c r="J23" t="s">
        <v>25</v>
      </c>
      <c r="K23" t="s">
        <v>39</v>
      </c>
      <c r="L23" t="s">
        <v>19</v>
      </c>
      <c r="M23" t="s">
        <v>83</v>
      </c>
    </row>
    <row r="24" spans="1:13" x14ac:dyDescent="0.25">
      <c r="A24" s="1">
        <v>2023</v>
      </c>
      <c r="B24" t="s">
        <v>84</v>
      </c>
      <c r="C24" t="s">
        <v>14</v>
      </c>
      <c r="D24">
        <v>26</v>
      </c>
      <c r="E24" t="s">
        <v>43</v>
      </c>
      <c r="F24" t="s">
        <v>44</v>
      </c>
      <c r="G24">
        <v>280000</v>
      </c>
      <c r="H24" s="1">
        <v>3</v>
      </c>
      <c r="I24" s="1">
        <v>4</v>
      </c>
      <c r="J24" t="s">
        <v>31</v>
      </c>
      <c r="K24" t="s">
        <v>45</v>
      </c>
      <c r="L24" t="s">
        <v>33</v>
      </c>
      <c r="M24" t="s">
        <v>85</v>
      </c>
    </row>
    <row r="25" spans="1:13" x14ac:dyDescent="0.25">
      <c r="A25" s="1">
        <v>2024</v>
      </c>
      <c r="B25" t="s">
        <v>86</v>
      </c>
      <c r="C25" t="s">
        <v>22</v>
      </c>
      <c r="D25">
        <v>27</v>
      </c>
      <c r="E25" t="s">
        <v>48</v>
      </c>
      <c r="F25" t="s">
        <v>49</v>
      </c>
      <c r="G25">
        <v>330000</v>
      </c>
      <c r="H25" s="1">
        <v>4</v>
      </c>
      <c r="I25" s="1">
        <v>5</v>
      </c>
      <c r="J25" t="s">
        <v>38</v>
      </c>
      <c r="K25" t="s">
        <v>50</v>
      </c>
      <c r="L25" t="s">
        <v>40</v>
      </c>
      <c r="M25" t="s">
        <v>87</v>
      </c>
    </row>
    <row r="26" spans="1:13" x14ac:dyDescent="0.25">
      <c r="A26" s="1">
        <v>2025</v>
      </c>
      <c r="B26" t="s">
        <v>88</v>
      </c>
      <c r="C26" t="s">
        <v>14</v>
      </c>
      <c r="D26">
        <v>28</v>
      </c>
      <c r="E26" t="s">
        <v>15</v>
      </c>
      <c r="F26" t="s">
        <v>16</v>
      </c>
      <c r="G26">
        <v>380000</v>
      </c>
      <c r="H26" s="1">
        <v>5</v>
      </c>
      <c r="I26" s="1">
        <v>3</v>
      </c>
      <c r="J26" t="s">
        <v>17</v>
      </c>
      <c r="K26" t="s">
        <v>18</v>
      </c>
      <c r="L26" t="s">
        <v>19</v>
      </c>
      <c r="M26" t="s">
        <v>89</v>
      </c>
    </row>
    <row r="27" spans="1:13" x14ac:dyDescent="0.25">
      <c r="A27" s="1">
        <v>2026</v>
      </c>
      <c r="B27" t="s">
        <v>90</v>
      </c>
      <c r="C27" t="s">
        <v>22</v>
      </c>
      <c r="D27">
        <v>29</v>
      </c>
      <c r="E27" t="s">
        <v>23</v>
      </c>
      <c r="F27" t="s">
        <v>24</v>
      </c>
      <c r="G27">
        <v>430000</v>
      </c>
      <c r="H27" s="1">
        <v>6</v>
      </c>
      <c r="I27" s="1">
        <v>4</v>
      </c>
      <c r="J27" t="s">
        <v>25</v>
      </c>
      <c r="K27" t="s">
        <v>26</v>
      </c>
      <c r="L27" t="s">
        <v>19</v>
      </c>
      <c r="M27" t="s">
        <v>91</v>
      </c>
    </row>
    <row r="28" spans="1:13" x14ac:dyDescent="0.25">
      <c r="A28" s="1">
        <v>2027</v>
      </c>
      <c r="B28" t="s">
        <v>92</v>
      </c>
      <c r="C28" t="s">
        <v>14</v>
      </c>
      <c r="D28">
        <v>30</v>
      </c>
      <c r="E28" t="s">
        <v>29</v>
      </c>
      <c r="F28" t="s">
        <v>30</v>
      </c>
      <c r="G28">
        <v>480000</v>
      </c>
      <c r="H28" s="1">
        <v>7</v>
      </c>
      <c r="I28" s="1">
        <v>5</v>
      </c>
      <c r="J28" t="s">
        <v>31</v>
      </c>
      <c r="K28" t="s">
        <v>32</v>
      </c>
      <c r="L28" t="s">
        <v>33</v>
      </c>
      <c r="M28" t="s">
        <v>93</v>
      </c>
    </row>
    <row r="29" spans="1:13" x14ac:dyDescent="0.25">
      <c r="A29" s="1">
        <v>2028</v>
      </c>
      <c r="B29" t="s">
        <v>94</v>
      </c>
      <c r="C29" t="s">
        <v>22</v>
      </c>
      <c r="D29">
        <v>31</v>
      </c>
      <c r="E29" t="s">
        <v>36</v>
      </c>
      <c r="F29" t="s">
        <v>37</v>
      </c>
      <c r="G29">
        <v>530000</v>
      </c>
      <c r="H29" s="1">
        <v>8</v>
      </c>
      <c r="I29" s="1">
        <v>3</v>
      </c>
      <c r="J29" t="s">
        <v>38</v>
      </c>
      <c r="K29" t="s">
        <v>39</v>
      </c>
      <c r="L29" t="s">
        <v>40</v>
      </c>
      <c r="M29" t="s">
        <v>95</v>
      </c>
    </row>
    <row r="30" spans="1:13" x14ac:dyDescent="0.25">
      <c r="A30" s="1">
        <v>2029</v>
      </c>
      <c r="B30" t="s">
        <v>96</v>
      </c>
      <c r="C30" t="s">
        <v>14</v>
      </c>
      <c r="D30">
        <v>32</v>
      </c>
      <c r="E30" t="s">
        <v>43</v>
      </c>
      <c r="F30" t="s">
        <v>44</v>
      </c>
      <c r="G30">
        <v>580000</v>
      </c>
      <c r="H30" s="1">
        <v>9</v>
      </c>
      <c r="I30" s="1">
        <v>4</v>
      </c>
      <c r="J30" t="s">
        <v>17</v>
      </c>
      <c r="K30" t="s">
        <v>45</v>
      </c>
      <c r="L30" t="s">
        <v>19</v>
      </c>
      <c r="M30" t="s">
        <v>97</v>
      </c>
    </row>
    <row r="31" spans="1:13" x14ac:dyDescent="0.25">
      <c r="A31" s="1">
        <v>2030</v>
      </c>
      <c r="B31" t="s">
        <v>98</v>
      </c>
      <c r="C31" t="s">
        <v>22</v>
      </c>
      <c r="D31">
        <v>33</v>
      </c>
      <c r="E31" t="s">
        <v>48</v>
      </c>
      <c r="F31" t="s">
        <v>49</v>
      </c>
      <c r="G31">
        <v>630000</v>
      </c>
      <c r="H31" s="1">
        <v>10</v>
      </c>
      <c r="I31" s="1">
        <v>5</v>
      </c>
      <c r="J31" t="s">
        <v>25</v>
      </c>
      <c r="K31" t="s">
        <v>50</v>
      </c>
      <c r="L31" t="s">
        <v>19</v>
      </c>
      <c r="M31" t="s">
        <v>99</v>
      </c>
    </row>
    <row r="32" spans="1:13" x14ac:dyDescent="0.25">
      <c r="A32" s="1">
        <v>2031</v>
      </c>
      <c r="B32" t="s">
        <v>100</v>
      </c>
      <c r="C32" t="s">
        <v>14</v>
      </c>
      <c r="D32">
        <v>34</v>
      </c>
      <c r="E32" t="s">
        <v>15</v>
      </c>
      <c r="F32" t="s">
        <v>16</v>
      </c>
      <c r="G32">
        <v>180000</v>
      </c>
      <c r="H32" s="1">
        <v>1</v>
      </c>
      <c r="I32" s="1">
        <v>3</v>
      </c>
      <c r="J32" t="s">
        <v>31</v>
      </c>
      <c r="K32" t="s">
        <v>18</v>
      </c>
      <c r="L32" t="s">
        <v>33</v>
      </c>
      <c r="M32" t="s">
        <v>101</v>
      </c>
    </row>
    <row r="33" spans="1:13" x14ac:dyDescent="0.25">
      <c r="A33" s="1">
        <v>2032</v>
      </c>
      <c r="B33" t="s">
        <v>102</v>
      </c>
      <c r="C33" t="s">
        <v>22</v>
      </c>
      <c r="D33">
        <v>35</v>
      </c>
      <c r="E33" t="s">
        <v>23</v>
      </c>
      <c r="F33" t="s">
        <v>24</v>
      </c>
      <c r="G33">
        <v>230000</v>
      </c>
      <c r="H33" s="1">
        <v>2</v>
      </c>
      <c r="I33" s="1">
        <v>4</v>
      </c>
      <c r="J33" t="s">
        <v>38</v>
      </c>
      <c r="K33" t="s">
        <v>26</v>
      </c>
      <c r="L33" t="s">
        <v>40</v>
      </c>
      <c r="M33" t="s">
        <v>103</v>
      </c>
    </row>
    <row r="34" spans="1:13" x14ac:dyDescent="0.25">
      <c r="A34" s="1">
        <v>2033</v>
      </c>
      <c r="B34" t="s">
        <v>104</v>
      </c>
      <c r="C34" t="s">
        <v>14</v>
      </c>
      <c r="D34">
        <v>36</v>
      </c>
      <c r="E34" t="s">
        <v>29</v>
      </c>
      <c r="F34" t="s">
        <v>30</v>
      </c>
      <c r="G34">
        <v>280000</v>
      </c>
      <c r="H34" s="1">
        <v>3</v>
      </c>
      <c r="I34" s="1">
        <v>5</v>
      </c>
      <c r="J34" t="s">
        <v>17</v>
      </c>
      <c r="K34" t="s">
        <v>32</v>
      </c>
      <c r="L34" t="s">
        <v>19</v>
      </c>
      <c r="M34" t="s">
        <v>105</v>
      </c>
    </row>
    <row r="35" spans="1:13" x14ac:dyDescent="0.25">
      <c r="A35" s="1">
        <v>2034</v>
      </c>
      <c r="B35" t="s">
        <v>106</v>
      </c>
      <c r="C35" t="s">
        <v>22</v>
      </c>
      <c r="D35">
        <v>37</v>
      </c>
      <c r="E35" t="s">
        <v>36</v>
      </c>
      <c r="F35" t="s">
        <v>37</v>
      </c>
      <c r="G35">
        <v>330000</v>
      </c>
      <c r="H35" s="1">
        <v>4</v>
      </c>
      <c r="I35" s="1">
        <v>3</v>
      </c>
      <c r="J35" t="s">
        <v>25</v>
      </c>
      <c r="K35" t="s">
        <v>39</v>
      </c>
      <c r="L35" t="s">
        <v>19</v>
      </c>
      <c r="M35" t="s">
        <v>107</v>
      </c>
    </row>
    <row r="36" spans="1:13" x14ac:dyDescent="0.25">
      <c r="A36" s="1">
        <v>2035</v>
      </c>
      <c r="B36" t="s">
        <v>108</v>
      </c>
      <c r="C36" t="s">
        <v>14</v>
      </c>
      <c r="D36">
        <v>38</v>
      </c>
      <c r="E36" t="s">
        <v>43</v>
      </c>
      <c r="F36" t="s">
        <v>44</v>
      </c>
      <c r="G36">
        <v>380000</v>
      </c>
      <c r="H36" s="1">
        <v>5</v>
      </c>
      <c r="I36" s="1">
        <v>4</v>
      </c>
      <c r="J36" t="s">
        <v>31</v>
      </c>
      <c r="K36" t="s">
        <v>45</v>
      </c>
      <c r="L36" t="s">
        <v>33</v>
      </c>
      <c r="M36" t="s">
        <v>109</v>
      </c>
    </row>
    <row r="37" spans="1:13" x14ac:dyDescent="0.25">
      <c r="A37" s="1">
        <v>2036</v>
      </c>
      <c r="B37" t="s">
        <v>110</v>
      </c>
      <c r="C37" t="s">
        <v>22</v>
      </c>
      <c r="D37">
        <v>39</v>
      </c>
      <c r="E37" t="s">
        <v>48</v>
      </c>
      <c r="F37" t="s">
        <v>49</v>
      </c>
      <c r="G37">
        <v>430000</v>
      </c>
      <c r="H37" s="1">
        <v>6</v>
      </c>
      <c r="I37" s="1">
        <v>5</v>
      </c>
      <c r="J37" t="s">
        <v>38</v>
      </c>
      <c r="K37" t="s">
        <v>50</v>
      </c>
      <c r="L37" t="s">
        <v>40</v>
      </c>
      <c r="M37" t="s">
        <v>111</v>
      </c>
    </row>
    <row r="38" spans="1:13" x14ac:dyDescent="0.25">
      <c r="A38" s="1">
        <v>2037</v>
      </c>
      <c r="B38" t="s">
        <v>112</v>
      </c>
      <c r="C38" t="s">
        <v>14</v>
      </c>
      <c r="D38">
        <v>40</v>
      </c>
      <c r="E38" t="s">
        <v>15</v>
      </c>
      <c r="F38" t="s">
        <v>16</v>
      </c>
      <c r="G38">
        <v>480000</v>
      </c>
      <c r="H38" s="1">
        <v>7</v>
      </c>
      <c r="I38" s="1">
        <v>3</v>
      </c>
      <c r="J38" t="s">
        <v>17</v>
      </c>
      <c r="K38" t="s">
        <v>18</v>
      </c>
      <c r="L38" t="s">
        <v>19</v>
      </c>
      <c r="M38" t="s">
        <v>113</v>
      </c>
    </row>
    <row r="39" spans="1:13" x14ac:dyDescent="0.25">
      <c r="A39" s="1">
        <v>2038</v>
      </c>
      <c r="B39" t="s">
        <v>114</v>
      </c>
      <c r="C39" t="s">
        <v>22</v>
      </c>
      <c r="D39">
        <v>22</v>
      </c>
      <c r="E39" t="s">
        <v>23</v>
      </c>
      <c r="F39" t="s">
        <v>24</v>
      </c>
      <c r="G39">
        <v>530000</v>
      </c>
      <c r="H39" s="1">
        <v>8</v>
      </c>
      <c r="I39" s="1">
        <v>4</v>
      </c>
      <c r="J39" t="s">
        <v>25</v>
      </c>
      <c r="K39" t="s">
        <v>26</v>
      </c>
      <c r="L39" t="s">
        <v>19</v>
      </c>
      <c r="M39" t="s">
        <v>115</v>
      </c>
    </row>
    <row r="40" spans="1:13" x14ac:dyDescent="0.25">
      <c r="A40" s="1">
        <v>2039</v>
      </c>
      <c r="B40" t="s">
        <v>116</v>
      </c>
      <c r="C40" t="s">
        <v>14</v>
      </c>
      <c r="D40">
        <v>23</v>
      </c>
      <c r="E40" t="s">
        <v>29</v>
      </c>
      <c r="F40" t="s">
        <v>30</v>
      </c>
      <c r="G40">
        <v>580000</v>
      </c>
      <c r="H40" s="1">
        <v>9</v>
      </c>
      <c r="I40" s="1">
        <v>5</v>
      </c>
      <c r="J40" t="s">
        <v>31</v>
      </c>
      <c r="K40" t="s">
        <v>32</v>
      </c>
      <c r="L40" t="s">
        <v>33</v>
      </c>
      <c r="M40" t="s">
        <v>117</v>
      </c>
    </row>
    <row r="41" spans="1:13" x14ac:dyDescent="0.25">
      <c r="A41" s="1">
        <v>2040</v>
      </c>
      <c r="B41" t="s">
        <v>118</v>
      </c>
      <c r="C41" t="s">
        <v>22</v>
      </c>
      <c r="D41">
        <v>24</v>
      </c>
      <c r="E41" t="s">
        <v>36</v>
      </c>
      <c r="F41" t="s">
        <v>37</v>
      </c>
      <c r="G41">
        <v>630000</v>
      </c>
      <c r="H41" s="1">
        <v>10</v>
      </c>
      <c r="I41" s="1">
        <v>3</v>
      </c>
      <c r="J41" t="s">
        <v>38</v>
      </c>
      <c r="K41" t="s">
        <v>39</v>
      </c>
      <c r="L41" t="s">
        <v>40</v>
      </c>
      <c r="M41" t="s">
        <v>119</v>
      </c>
    </row>
    <row r="42" spans="1:13" x14ac:dyDescent="0.25">
      <c r="A42" s="1">
        <v>2041</v>
      </c>
      <c r="B42" t="s">
        <v>120</v>
      </c>
      <c r="C42" t="s">
        <v>14</v>
      </c>
      <c r="D42">
        <v>25</v>
      </c>
      <c r="E42" t="s">
        <v>43</v>
      </c>
      <c r="F42" t="s">
        <v>44</v>
      </c>
      <c r="G42">
        <v>180000</v>
      </c>
      <c r="H42" s="1">
        <v>1</v>
      </c>
      <c r="I42" s="1">
        <v>4</v>
      </c>
      <c r="J42" t="s">
        <v>17</v>
      </c>
      <c r="K42" t="s">
        <v>45</v>
      </c>
      <c r="L42" t="s">
        <v>19</v>
      </c>
      <c r="M42" t="s">
        <v>121</v>
      </c>
    </row>
    <row r="43" spans="1:13" x14ac:dyDescent="0.25">
      <c r="A43" s="1">
        <v>2042</v>
      </c>
      <c r="B43" t="s">
        <v>122</v>
      </c>
      <c r="C43" t="s">
        <v>22</v>
      </c>
      <c r="D43">
        <v>26</v>
      </c>
      <c r="E43" t="s">
        <v>48</v>
      </c>
      <c r="F43" t="s">
        <v>49</v>
      </c>
      <c r="G43">
        <v>230000</v>
      </c>
      <c r="H43" s="1">
        <v>2</v>
      </c>
      <c r="I43" s="1">
        <v>5</v>
      </c>
      <c r="J43" t="s">
        <v>25</v>
      </c>
      <c r="K43" t="s">
        <v>50</v>
      </c>
      <c r="L43" t="s">
        <v>19</v>
      </c>
      <c r="M43" t="s">
        <v>123</v>
      </c>
    </row>
    <row r="44" spans="1:13" x14ac:dyDescent="0.25">
      <c r="A44" s="1">
        <v>2043</v>
      </c>
      <c r="B44" t="s">
        <v>124</v>
      </c>
      <c r="C44" t="s">
        <v>14</v>
      </c>
      <c r="D44">
        <v>27</v>
      </c>
      <c r="E44" t="s">
        <v>15</v>
      </c>
      <c r="F44" t="s">
        <v>16</v>
      </c>
      <c r="G44">
        <v>280000</v>
      </c>
      <c r="H44" s="1">
        <v>3</v>
      </c>
      <c r="I44" s="1">
        <v>3</v>
      </c>
      <c r="J44" t="s">
        <v>31</v>
      </c>
      <c r="K44" t="s">
        <v>18</v>
      </c>
      <c r="L44" t="s">
        <v>33</v>
      </c>
      <c r="M44" t="s">
        <v>125</v>
      </c>
    </row>
    <row r="45" spans="1:13" x14ac:dyDescent="0.25">
      <c r="A45" s="1">
        <v>2044</v>
      </c>
      <c r="B45" t="s">
        <v>126</v>
      </c>
      <c r="C45" t="s">
        <v>22</v>
      </c>
      <c r="D45">
        <v>28</v>
      </c>
      <c r="E45" t="s">
        <v>23</v>
      </c>
      <c r="F45" t="s">
        <v>24</v>
      </c>
      <c r="G45">
        <v>330000</v>
      </c>
      <c r="H45" s="1">
        <v>4</v>
      </c>
      <c r="I45" s="1">
        <v>4</v>
      </c>
      <c r="J45" t="s">
        <v>38</v>
      </c>
      <c r="K45" t="s">
        <v>26</v>
      </c>
      <c r="L45" t="s">
        <v>40</v>
      </c>
      <c r="M45" t="s">
        <v>127</v>
      </c>
    </row>
    <row r="46" spans="1:13" x14ac:dyDescent="0.25">
      <c r="A46" s="1">
        <v>2045</v>
      </c>
      <c r="B46" t="s">
        <v>128</v>
      </c>
      <c r="C46" t="s">
        <v>14</v>
      </c>
      <c r="D46">
        <v>29</v>
      </c>
      <c r="E46" t="s">
        <v>29</v>
      </c>
      <c r="F46" t="s">
        <v>30</v>
      </c>
      <c r="G46">
        <v>380000</v>
      </c>
      <c r="H46" s="1">
        <v>5</v>
      </c>
      <c r="I46" s="1">
        <v>5</v>
      </c>
      <c r="J46" t="s">
        <v>17</v>
      </c>
      <c r="K46" t="s">
        <v>32</v>
      </c>
      <c r="L46" t="s">
        <v>19</v>
      </c>
      <c r="M46" t="s">
        <v>129</v>
      </c>
    </row>
    <row r="47" spans="1:13" x14ac:dyDescent="0.25">
      <c r="A47" s="1">
        <v>2046</v>
      </c>
      <c r="B47" t="s">
        <v>130</v>
      </c>
      <c r="C47" t="s">
        <v>22</v>
      </c>
      <c r="D47">
        <v>30</v>
      </c>
      <c r="E47" t="s">
        <v>36</v>
      </c>
      <c r="F47" t="s">
        <v>37</v>
      </c>
      <c r="G47">
        <v>430000</v>
      </c>
      <c r="H47" s="1">
        <v>6</v>
      </c>
      <c r="I47" s="1">
        <v>3</v>
      </c>
      <c r="J47" t="s">
        <v>25</v>
      </c>
      <c r="K47" t="s">
        <v>39</v>
      </c>
      <c r="L47" t="s">
        <v>19</v>
      </c>
      <c r="M47" t="s">
        <v>131</v>
      </c>
    </row>
    <row r="48" spans="1:13" x14ac:dyDescent="0.25">
      <c r="A48" s="1">
        <v>2047</v>
      </c>
      <c r="B48" t="s">
        <v>132</v>
      </c>
      <c r="C48" t="s">
        <v>14</v>
      </c>
      <c r="D48">
        <v>31</v>
      </c>
      <c r="E48" t="s">
        <v>43</v>
      </c>
      <c r="F48" t="s">
        <v>44</v>
      </c>
      <c r="G48">
        <v>480000</v>
      </c>
      <c r="H48" s="1">
        <v>7</v>
      </c>
      <c r="I48" s="1">
        <v>4</v>
      </c>
      <c r="J48" t="s">
        <v>31</v>
      </c>
      <c r="K48" t="s">
        <v>45</v>
      </c>
      <c r="L48" t="s">
        <v>33</v>
      </c>
      <c r="M48" t="s">
        <v>133</v>
      </c>
    </row>
    <row r="49" spans="1:13" x14ac:dyDescent="0.25">
      <c r="A49" s="1">
        <v>2048</v>
      </c>
      <c r="B49" t="s">
        <v>134</v>
      </c>
      <c r="C49" t="s">
        <v>22</v>
      </c>
      <c r="D49">
        <v>32</v>
      </c>
      <c r="E49" t="s">
        <v>48</v>
      </c>
      <c r="F49" t="s">
        <v>49</v>
      </c>
      <c r="G49">
        <v>530000</v>
      </c>
      <c r="H49" s="1">
        <v>8</v>
      </c>
      <c r="I49" s="1">
        <v>5</v>
      </c>
      <c r="J49" t="s">
        <v>38</v>
      </c>
      <c r="K49" t="s">
        <v>50</v>
      </c>
      <c r="L49" t="s">
        <v>40</v>
      </c>
      <c r="M49" t="s">
        <v>135</v>
      </c>
    </row>
    <row r="50" spans="1:13" x14ac:dyDescent="0.25">
      <c r="A50" s="1">
        <v>2049</v>
      </c>
      <c r="B50" t="s">
        <v>136</v>
      </c>
      <c r="C50" t="s">
        <v>14</v>
      </c>
      <c r="D50">
        <v>33</v>
      </c>
      <c r="E50" t="s">
        <v>15</v>
      </c>
      <c r="F50" t="s">
        <v>16</v>
      </c>
      <c r="G50">
        <v>580000</v>
      </c>
      <c r="H50" s="1">
        <v>9</v>
      </c>
      <c r="I50" s="1">
        <v>3</v>
      </c>
      <c r="J50" t="s">
        <v>17</v>
      </c>
      <c r="K50" t="s">
        <v>18</v>
      </c>
      <c r="L50" t="s">
        <v>19</v>
      </c>
      <c r="M50" t="s">
        <v>137</v>
      </c>
    </row>
    <row r="51" spans="1:13" x14ac:dyDescent="0.25">
      <c r="A51" s="1">
        <v>2050</v>
      </c>
      <c r="B51" t="s">
        <v>138</v>
      </c>
      <c r="C51" t="s">
        <v>22</v>
      </c>
      <c r="D51">
        <v>34</v>
      </c>
      <c r="E51" t="s">
        <v>23</v>
      </c>
      <c r="F51" t="s">
        <v>24</v>
      </c>
      <c r="G51">
        <v>630000</v>
      </c>
      <c r="H51" s="1">
        <v>10</v>
      </c>
      <c r="I51" s="1">
        <v>4</v>
      </c>
      <c r="J51" t="s">
        <v>25</v>
      </c>
      <c r="K51" t="s">
        <v>26</v>
      </c>
      <c r="L51" t="s">
        <v>19</v>
      </c>
      <c r="M51" t="s">
        <v>139</v>
      </c>
    </row>
    <row r="55" spans="1:13" x14ac:dyDescent="0.25">
      <c r="A55" s="4" t="s">
        <v>147</v>
      </c>
      <c r="D55">
        <f>COUNTA(A2:A51)</f>
        <v>50</v>
      </c>
    </row>
    <row r="56" spans="1:13" x14ac:dyDescent="0.25">
      <c r="A56" s="4" t="s">
        <v>148</v>
      </c>
      <c r="D56">
        <f>AVERAGE(G2:G51)</f>
        <v>405000</v>
      </c>
    </row>
    <row r="57" spans="1:13" x14ac:dyDescent="0.25">
      <c r="A57" s="4" t="s">
        <v>140</v>
      </c>
      <c r="D57">
        <f>MAX(G2:G51)</f>
        <v>630000</v>
      </c>
    </row>
    <row r="58" spans="1:13" x14ac:dyDescent="0.25">
      <c r="A58" s="4" t="s">
        <v>141</v>
      </c>
      <c r="D58">
        <f>MIN(G2:G51)</f>
        <v>180000</v>
      </c>
    </row>
    <row r="59" spans="1:13" x14ac:dyDescent="0.25">
      <c r="A59" s="4" t="s">
        <v>142</v>
      </c>
      <c r="D59">
        <f>AVERAGE(D2:D51)</f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2026-07-12T22:08:39Z</dcterms:created>
  <dcterms:modified xsi:type="dcterms:W3CDTF">2026-10-14T21:16:11Z</dcterms:modified>
</cp:coreProperties>
</file>