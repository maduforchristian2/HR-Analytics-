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UFOR CHRISTIAN\Documents\DATA ANALYST PORTFOLIO\PROJECT _05. HR_Analytics\"/>
    </mc:Choice>
  </mc:AlternateContent>
  <xr:revisionPtr revIDLastSave="0" documentId="8_{A22D552F-D6FE-40D5-8D0A-B0A9C1D4BD8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2" sheetId="3" r:id="rId2"/>
    <sheet name="HR_Analytics" sheetId="1" r:id="rId3"/>
  </sheet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58" i="1"/>
  <c r="D57" i="1"/>
  <c r="D56" i="1"/>
  <c r="D55" i="1"/>
</calcChain>
</file>

<file path=xl/sharedStrings.xml><?xml version="1.0" encoding="utf-8"?>
<sst xmlns="http://schemas.openxmlformats.org/spreadsheetml/2006/main" count="815" uniqueCount="161">
  <si>
    <t>Employee_ID</t>
  </si>
  <si>
    <t>Employee_Name</t>
  </si>
  <si>
    <t>Gender</t>
  </si>
  <si>
    <t>Age</t>
  </si>
  <si>
    <t>Department</t>
  </si>
  <si>
    <t>Job_Role</t>
  </si>
  <si>
    <t>Salary</t>
  </si>
  <si>
    <t>Experience_Years</t>
  </si>
  <si>
    <t>Performance_Rating</t>
  </si>
  <si>
    <t>Education</t>
  </si>
  <si>
    <t>City</t>
  </si>
  <si>
    <t>Employment_Status</t>
  </si>
  <si>
    <t>Hire_Date</t>
  </si>
  <si>
    <t>Employee 1</t>
  </si>
  <si>
    <t>Male</t>
  </si>
  <si>
    <t>IT</t>
  </si>
  <si>
    <t>Data Analyst</t>
  </si>
  <si>
    <t>BSc</t>
  </si>
  <si>
    <t>Lagos</t>
  </si>
  <si>
    <t>Active</t>
  </si>
  <si>
    <t>01/01/2024</t>
  </si>
  <si>
    <t>Employee 2</t>
  </si>
  <si>
    <t>Female</t>
  </si>
  <si>
    <t>HR</t>
  </si>
  <si>
    <t>HR Officer</t>
  </si>
  <si>
    <t>HND</t>
  </si>
  <si>
    <t>Abuja</t>
  </si>
  <si>
    <t>02/02/2024</t>
  </si>
  <si>
    <t>Employee 3</t>
  </si>
  <si>
    <t>Finance</t>
  </si>
  <si>
    <t>Accountant</t>
  </si>
  <si>
    <t>MSc</t>
  </si>
  <si>
    <t>Port Harcourt</t>
  </si>
  <si>
    <t>On Leave</t>
  </si>
  <si>
    <t>03/03/2024</t>
  </si>
  <si>
    <t>Employee 4</t>
  </si>
  <si>
    <t>Sales</t>
  </si>
  <si>
    <t>Sales Rep</t>
  </si>
  <si>
    <t>OND</t>
  </si>
  <si>
    <t>Enugu</t>
  </si>
  <si>
    <t>Resigned</t>
  </si>
  <si>
    <t>04/04/2024</t>
  </si>
  <si>
    <t>Employee 5</t>
  </si>
  <si>
    <t>Marketing</t>
  </si>
  <si>
    <t>Marketing Exec</t>
  </si>
  <si>
    <t>Owerri</t>
  </si>
  <si>
    <t>05/05/2024</t>
  </si>
  <si>
    <t>Employee 6</t>
  </si>
  <si>
    <t>Operations</t>
  </si>
  <si>
    <t>Operations Officer</t>
  </si>
  <si>
    <t>Kano</t>
  </si>
  <si>
    <t>06/06/2024</t>
  </si>
  <si>
    <t>Employee 7</t>
  </si>
  <si>
    <t>07/07/2024</t>
  </si>
  <si>
    <t>Employee 8</t>
  </si>
  <si>
    <t>08/08/2024</t>
  </si>
  <si>
    <t>Employee 9</t>
  </si>
  <si>
    <t>09/09/2024</t>
  </si>
  <si>
    <t>Employee 10</t>
  </si>
  <si>
    <t>10/10/2024</t>
  </si>
  <si>
    <t>Employee 11</t>
  </si>
  <si>
    <t>11/11/2024</t>
  </si>
  <si>
    <t>Employee 12</t>
  </si>
  <si>
    <t>12/12/2024</t>
  </si>
  <si>
    <t>Employee 13</t>
  </si>
  <si>
    <t>13/01/2024</t>
  </si>
  <si>
    <t>Employee 14</t>
  </si>
  <si>
    <t>14/02/2024</t>
  </si>
  <si>
    <t>Employee 15</t>
  </si>
  <si>
    <t>15/03/2024</t>
  </si>
  <si>
    <t>Employee 16</t>
  </si>
  <si>
    <t>16/04/2024</t>
  </si>
  <si>
    <t>Employee 17</t>
  </si>
  <si>
    <t>17/05/2024</t>
  </si>
  <si>
    <t>Employee 18</t>
  </si>
  <si>
    <t>18/06/2024</t>
  </si>
  <si>
    <t>Employee 19</t>
  </si>
  <si>
    <t>19/07/2024</t>
  </si>
  <si>
    <t>Employee 20</t>
  </si>
  <si>
    <t>20/08/2024</t>
  </si>
  <si>
    <t>Employee 21</t>
  </si>
  <si>
    <t>21/09/2024</t>
  </si>
  <si>
    <t>Employee 22</t>
  </si>
  <si>
    <t>22/10/2024</t>
  </si>
  <si>
    <t>Employee 23</t>
  </si>
  <si>
    <t>23/11/2024</t>
  </si>
  <si>
    <t>Employee 24</t>
  </si>
  <si>
    <t>24/12/2024</t>
  </si>
  <si>
    <t>Employee 25</t>
  </si>
  <si>
    <t>25/01/2024</t>
  </si>
  <si>
    <t>Employee 26</t>
  </si>
  <si>
    <t>26/02/2024</t>
  </si>
  <si>
    <t>Employee 27</t>
  </si>
  <si>
    <t>27/03/2024</t>
  </si>
  <si>
    <t>Employee 28</t>
  </si>
  <si>
    <t>28/04/2024</t>
  </si>
  <si>
    <t>Employee 29</t>
  </si>
  <si>
    <t>01/05/2024</t>
  </si>
  <si>
    <t>Employee 30</t>
  </si>
  <si>
    <t>02/06/2024</t>
  </si>
  <si>
    <t>Employee 31</t>
  </si>
  <si>
    <t>03/07/2024</t>
  </si>
  <si>
    <t>Employee 32</t>
  </si>
  <si>
    <t>04/08/2024</t>
  </si>
  <si>
    <t>Employee 33</t>
  </si>
  <si>
    <t>05/09/2024</t>
  </si>
  <si>
    <t>Employee 34</t>
  </si>
  <si>
    <t>06/10/2024</t>
  </si>
  <si>
    <t>Employee 35</t>
  </si>
  <si>
    <t>07/11/2024</t>
  </si>
  <si>
    <t>Employee 36</t>
  </si>
  <si>
    <t>08/12/2024</t>
  </si>
  <si>
    <t>Employee 37</t>
  </si>
  <si>
    <t>09/01/2024</t>
  </si>
  <si>
    <t>Employee 38</t>
  </si>
  <si>
    <t>10/02/2024</t>
  </si>
  <si>
    <t>Employee 39</t>
  </si>
  <si>
    <t>11/03/2024</t>
  </si>
  <si>
    <t>Employee 40</t>
  </si>
  <si>
    <t>12/04/2024</t>
  </si>
  <si>
    <t>Employee 41</t>
  </si>
  <si>
    <t>13/05/2024</t>
  </si>
  <si>
    <t>Employee 42</t>
  </si>
  <si>
    <t>14/06/2024</t>
  </si>
  <si>
    <t>Employee 43</t>
  </si>
  <si>
    <t>15/07/2024</t>
  </si>
  <si>
    <t>Employee 44</t>
  </si>
  <si>
    <t>16/08/2024</t>
  </si>
  <si>
    <t>Employee 45</t>
  </si>
  <si>
    <t>17/09/2024</t>
  </si>
  <si>
    <t>Employee 46</t>
  </si>
  <si>
    <t>18/10/2024</t>
  </si>
  <si>
    <t>Employee 47</t>
  </si>
  <si>
    <t>19/11/2024</t>
  </si>
  <si>
    <t>Employee 48</t>
  </si>
  <si>
    <t>20/12/2024</t>
  </si>
  <si>
    <t>Employee 49</t>
  </si>
  <si>
    <t>21/01/2024</t>
  </si>
  <si>
    <t>Employee 50</t>
  </si>
  <si>
    <t>22/02/2024</t>
  </si>
  <si>
    <t xml:space="preserve">Highest salary </t>
  </si>
  <si>
    <t xml:space="preserve">Lowest salary </t>
  </si>
  <si>
    <t xml:space="preserve">Average age </t>
  </si>
  <si>
    <t>Employees by gender</t>
  </si>
  <si>
    <t>Employees by city</t>
  </si>
  <si>
    <t>Highest paid department</t>
  </si>
  <si>
    <t>Average performance rating</t>
  </si>
  <si>
    <t>Total employees</t>
  </si>
  <si>
    <t>Average salary</t>
  </si>
  <si>
    <t>Employees by  department</t>
  </si>
  <si>
    <t>Row Labels</t>
  </si>
  <si>
    <t>Grand Total</t>
  </si>
  <si>
    <t>Count of Department</t>
  </si>
  <si>
    <t>Count of Gender</t>
  </si>
  <si>
    <t>Count of City</t>
  </si>
  <si>
    <t>Sum of Salary</t>
  </si>
  <si>
    <t>Sum of Performance_Rating</t>
  </si>
  <si>
    <t>Average of Performance_Rating</t>
  </si>
  <si>
    <t>Sum of Employee_ID</t>
  </si>
  <si>
    <t>Sum of Age</t>
  </si>
  <si>
    <t>Sum of Experience_Years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</si>
</sst>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</cellXfs>
  <cellStyles count="1">
    <cellStyle name="Normal" xfId="0" builtinId="0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 PIVOT_CHART.xlsx]Sheet2!PivotTable6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Employee_ID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Sheet2!$A$4:$A$356</c:f>
              <c:multiLvlStrCache>
                <c:ptCount val="50"/>
                <c:lvl>
                  <c:pt idx="0">
                    <c:v>10/10/2024</c:v>
                  </c:pt>
                  <c:pt idx="1">
                    <c:v>12/12/2024</c:v>
                  </c:pt>
                  <c:pt idx="2">
                    <c:v>14/02/2024</c:v>
                  </c:pt>
                  <c:pt idx="3">
                    <c:v>16/04/2024</c:v>
                  </c:pt>
                  <c:pt idx="4">
                    <c:v>18/06/2024</c:v>
                  </c:pt>
                  <c:pt idx="5">
                    <c:v>02/02/2024</c:v>
                  </c:pt>
                  <c:pt idx="6">
                    <c:v>20/08/2024</c:v>
                  </c:pt>
                  <c:pt idx="7">
                    <c:v>22/10/2024</c:v>
                  </c:pt>
                  <c:pt idx="8">
                    <c:v>24/12/2024</c:v>
                  </c:pt>
                  <c:pt idx="9">
                    <c:v>26/02/2024</c:v>
                  </c:pt>
                  <c:pt idx="10">
                    <c:v>28/04/2024</c:v>
                  </c:pt>
                  <c:pt idx="11">
                    <c:v>02/06/2024</c:v>
                  </c:pt>
                  <c:pt idx="12">
                    <c:v>04/08/2024</c:v>
                  </c:pt>
                  <c:pt idx="13">
                    <c:v>06/10/2024</c:v>
                  </c:pt>
                  <c:pt idx="14">
                    <c:v>08/12/2024</c:v>
                  </c:pt>
                  <c:pt idx="15">
                    <c:v>10/02/2024</c:v>
                  </c:pt>
                  <c:pt idx="16">
                    <c:v>04/04/2024</c:v>
                  </c:pt>
                  <c:pt idx="17">
                    <c:v>12/04/2024</c:v>
                  </c:pt>
                  <c:pt idx="18">
                    <c:v>14/06/2024</c:v>
                  </c:pt>
                  <c:pt idx="19">
                    <c:v>16/08/2024</c:v>
                  </c:pt>
                  <c:pt idx="20">
                    <c:v>18/10/2024</c:v>
                  </c:pt>
                  <c:pt idx="21">
                    <c:v>20/12/2024</c:v>
                  </c:pt>
                  <c:pt idx="22">
                    <c:v>22/02/2024</c:v>
                  </c:pt>
                  <c:pt idx="23">
                    <c:v>06/06/2024</c:v>
                  </c:pt>
                  <c:pt idx="24">
                    <c:v>08/08/2024</c:v>
                  </c:pt>
                  <c:pt idx="25">
                    <c:v>01/01/2024</c:v>
                  </c:pt>
                  <c:pt idx="26">
                    <c:v>11/11/2024</c:v>
                  </c:pt>
                  <c:pt idx="27">
                    <c:v>13/01/2024</c:v>
                  </c:pt>
                  <c:pt idx="28">
                    <c:v>15/03/2024</c:v>
                  </c:pt>
                  <c:pt idx="29">
                    <c:v>17/05/2024</c:v>
                  </c:pt>
                  <c:pt idx="30">
                    <c:v>19/07/2024</c:v>
                  </c:pt>
                  <c:pt idx="31">
                    <c:v>21/09/2024</c:v>
                  </c:pt>
                  <c:pt idx="32">
                    <c:v>23/11/2024</c:v>
                  </c:pt>
                  <c:pt idx="33">
                    <c:v>25/01/2024</c:v>
                  </c:pt>
                  <c:pt idx="34">
                    <c:v>27/03/2024</c:v>
                  </c:pt>
                  <c:pt idx="35">
                    <c:v>01/05/2024</c:v>
                  </c:pt>
                  <c:pt idx="36">
                    <c:v>03/03/2024</c:v>
                  </c:pt>
                  <c:pt idx="37">
                    <c:v>03/07/2024</c:v>
                  </c:pt>
                  <c:pt idx="38">
                    <c:v>05/09/2024</c:v>
                  </c:pt>
                  <c:pt idx="39">
                    <c:v>07/11/2024</c:v>
                  </c:pt>
                  <c:pt idx="40">
                    <c:v>09/01/2024</c:v>
                  </c:pt>
                  <c:pt idx="41">
                    <c:v>11/03/2024</c:v>
                  </c:pt>
                  <c:pt idx="42">
                    <c:v>13/05/2024</c:v>
                  </c:pt>
                  <c:pt idx="43">
                    <c:v>15/07/2024</c:v>
                  </c:pt>
                  <c:pt idx="44">
                    <c:v>17/09/2024</c:v>
                  </c:pt>
                  <c:pt idx="45">
                    <c:v>19/11/2024</c:v>
                  </c:pt>
                  <c:pt idx="46">
                    <c:v>21/01/2024</c:v>
                  </c:pt>
                  <c:pt idx="47">
                    <c:v>05/05/2024</c:v>
                  </c:pt>
                  <c:pt idx="48">
                    <c:v>07/07/2024</c:v>
                  </c:pt>
                  <c:pt idx="49">
                    <c:v>09/09/2024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Abuja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Abuja</c:v>
                  </c:pt>
                  <c:pt idx="6">
                    <c:v>Abuja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Abuja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Abuja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Abuja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Abuja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Abuja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Owerri</c:v>
                  </c:pt>
                  <c:pt idx="27">
                    <c:v>Lagos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Lagos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Lagos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Lagos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Lagos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Lagos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Lagos</c:v>
                  </c:pt>
                  <c:pt idx="47">
                    <c:v>Owerri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Active</c:v>
                  </c:pt>
                  <c:pt idx="1">
                    <c:v>Resigned</c:v>
                  </c:pt>
                  <c:pt idx="2">
                    <c:v>Active</c:v>
                  </c:pt>
                  <c:pt idx="3">
                    <c:v>Resigned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Resigned</c:v>
                  </c:pt>
                  <c:pt idx="7">
                    <c:v>Active</c:v>
                  </c:pt>
                  <c:pt idx="8">
                    <c:v>Resigned</c:v>
                  </c:pt>
                  <c:pt idx="9">
                    <c:v>Active</c:v>
                  </c:pt>
                  <c:pt idx="10">
                    <c:v>Resigned</c:v>
                  </c:pt>
                  <c:pt idx="11">
                    <c:v>Active</c:v>
                  </c:pt>
                  <c:pt idx="12">
                    <c:v>Resigned</c:v>
                  </c:pt>
                  <c:pt idx="13">
                    <c:v>Active</c:v>
                  </c:pt>
                  <c:pt idx="14">
                    <c:v>Resigned</c:v>
                  </c:pt>
                  <c:pt idx="15">
                    <c:v>Active</c:v>
                  </c:pt>
                  <c:pt idx="16">
                    <c:v>Resigned</c:v>
                  </c:pt>
                  <c:pt idx="17">
                    <c:v>Resigned</c:v>
                  </c:pt>
                  <c:pt idx="18">
                    <c:v>Active</c:v>
                  </c:pt>
                  <c:pt idx="19">
                    <c:v>Resigned</c:v>
                  </c:pt>
                  <c:pt idx="20">
                    <c:v>Active</c:v>
                  </c:pt>
                  <c:pt idx="21">
                    <c:v>Resigned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Resigned</c:v>
                  </c:pt>
                  <c:pt idx="25">
                    <c:v>Active</c:v>
                  </c:pt>
                  <c:pt idx="26">
                    <c:v>On Leave</c:v>
                  </c:pt>
                  <c:pt idx="27">
                    <c:v>Active</c:v>
                  </c:pt>
                  <c:pt idx="28">
                    <c:v>On Leave</c:v>
                  </c:pt>
                  <c:pt idx="29">
                    <c:v>Active</c:v>
                  </c:pt>
                  <c:pt idx="30">
                    <c:v>On Leave</c:v>
                  </c:pt>
                  <c:pt idx="31">
                    <c:v>Active</c:v>
                  </c:pt>
                  <c:pt idx="32">
                    <c:v>On Leave</c:v>
                  </c:pt>
                  <c:pt idx="33">
                    <c:v>Active</c:v>
                  </c:pt>
                  <c:pt idx="34">
                    <c:v>On Leave</c:v>
                  </c:pt>
                  <c:pt idx="35">
                    <c:v>Active</c:v>
                  </c:pt>
                  <c:pt idx="36">
                    <c:v>On Leave</c:v>
                  </c:pt>
                  <c:pt idx="37">
                    <c:v>On Leave</c:v>
                  </c:pt>
                  <c:pt idx="38">
                    <c:v>Active</c:v>
                  </c:pt>
                  <c:pt idx="39">
                    <c:v>On Leave</c:v>
                  </c:pt>
                  <c:pt idx="40">
                    <c:v>Active</c:v>
                  </c:pt>
                  <c:pt idx="41">
                    <c:v>On Leave</c:v>
                  </c:pt>
                  <c:pt idx="42">
                    <c:v>Active</c:v>
                  </c:pt>
                  <c:pt idx="43">
                    <c:v>On Leave</c:v>
                  </c:pt>
                  <c:pt idx="44">
                    <c:v>Active</c:v>
                  </c:pt>
                  <c:pt idx="45">
                    <c:v>On Leave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On Leave</c:v>
                  </c:pt>
                  <c:pt idx="49">
                    <c:v>Active</c:v>
                  </c:pt>
                </c:lvl>
                <c:lvl>
                  <c:pt idx="0">
                    <c:v>HND</c:v>
                  </c:pt>
                  <c:pt idx="1">
                    <c:v>OND</c:v>
                  </c:pt>
                  <c:pt idx="2">
                    <c:v>HND</c:v>
                  </c:pt>
                  <c:pt idx="3">
                    <c:v>OND</c:v>
                  </c:pt>
                  <c:pt idx="4">
                    <c:v>HND</c:v>
                  </c:pt>
                  <c:pt idx="5">
                    <c:v>HND</c:v>
                  </c:pt>
                  <c:pt idx="6">
                    <c:v>OND</c:v>
                  </c:pt>
                  <c:pt idx="7">
                    <c:v>HND</c:v>
                  </c:pt>
                  <c:pt idx="8">
                    <c:v>OND</c:v>
                  </c:pt>
                  <c:pt idx="9">
                    <c:v>HND</c:v>
                  </c:pt>
                  <c:pt idx="10">
                    <c:v>OND</c:v>
                  </c:pt>
                  <c:pt idx="11">
                    <c:v>HND</c:v>
                  </c:pt>
                  <c:pt idx="12">
                    <c:v>OND</c:v>
                  </c:pt>
                  <c:pt idx="13">
                    <c:v>HND</c:v>
                  </c:pt>
                  <c:pt idx="14">
                    <c:v>OND</c:v>
                  </c:pt>
                  <c:pt idx="15">
                    <c:v>HND</c:v>
                  </c:pt>
                  <c:pt idx="16">
                    <c:v>OND</c:v>
                  </c:pt>
                  <c:pt idx="17">
                    <c:v>OND</c:v>
                  </c:pt>
                  <c:pt idx="18">
                    <c:v>HND</c:v>
                  </c:pt>
                  <c:pt idx="19">
                    <c:v>OND</c:v>
                  </c:pt>
                  <c:pt idx="20">
                    <c:v>HND</c:v>
                  </c:pt>
                  <c:pt idx="21">
                    <c:v>OND</c:v>
                  </c:pt>
                  <c:pt idx="22">
                    <c:v>HND</c:v>
                  </c:pt>
                  <c:pt idx="23">
                    <c:v>HND</c:v>
                  </c:pt>
                  <c:pt idx="24">
                    <c:v>OND</c:v>
                  </c:pt>
                  <c:pt idx="25">
                    <c:v>BSc</c:v>
                  </c:pt>
                  <c:pt idx="26">
                    <c:v>MSc</c:v>
                  </c:pt>
                  <c:pt idx="27">
                    <c:v>BSc</c:v>
                  </c:pt>
                  <c:pt idx="28">
                    <c:v>MSc</c:v>
                  </c:pt>
                  <c:pt idx="29">
                    <c:v>BSc</c:v>
                  </c:pt>
                  <c:pt idx="30">
                    <c:v>MSc</c:v>
                  </c:pt>
                  <c:pt idx="31">
                    <c:v>BSc</c:v>
                  </c:pt>
                  <c:pt idx="32">
                    <c:v>MSc</c:v>
                  </c:pt>
                  <c:pt idx="33">
                    <c:v>BSc</c:v>
                  </c:pt>
                  <c:pt idx="34">
                    <c:v>MSc</c:v>
                  </c:pt>
                  <c:pt idx="35">
                    <c:v>BSc</c:v>
                  </c:pt>
                  <c:pt idx="36">
                    <c:v>MSc</c:v>
                  </c:pt>
                  <c:pt idx="37">
                    <c:v>MSc</c:v>
                  </c:pt>
                  <c:pt idx="38">
                    <c:v>BSc</c:v>
                  </c:pt>
                  <c:pt idx="39">
                    <c:v>MSc</c:v>
                  </c:pt>
                  <c:pt idx="40">
                    <c:v>BSc</c:v>
                  </c:pt>
                  <c:pt idx="41">
                    <c:v>MSc</c:v>
                  </c:pt>
                  <c:pt idx="42">
                    <c:v>BSc</c:v>
                  </c:pt>
                  <c:pt idx="43">
                    <c:v>MSc</c:v>
                  </c:pt>
                  <c:pt idx="44">
                    <c:v>BSc</c:v>
                  </c:pt>
                  <c:pt idx="45">
                    <c:v>MSc</c:v>
                  </c:pt>
                  <c:pt idx="46">
                    <c:v>BSc</c:v>
                  </c:pt>
                  <c:pt idx="47">
                    <c:v>BSc</c:v>
                  </c:pt>
                  <c:pt idx="48">
                    <c:v>MSc</c:v>
                  </c:pt>
                  <c:pt idx="49">
                    <c:v>BSc</c:v>
                  </c:pt>
                </c:lvl>
                <c:lvl>
                  <c:pt idx="0">
                    <c:v>Sales Rep</c:v>
                  </c:pt>
                  <c:pt idx="1">
                    <c:v>Operations Officer</c:v>
                  </c:pt>
                  <c:pt idx="2">
                    <c:v>HR Officer</c:v>
                  </c:pt>
                  <c:pt idx="3">
                    <c:v>Sales Rep</c:v>
                  </c:pt>
                  <c:pt idx="4">
                    <c:v>Operations Officer</c:v>
                  </c:pt>
                  <c:pt idx="5">
                    <c:v>HR Officer</c:v>
                  </c:pt>
                  <c:pt idx="6">
                    <c:v>HR Officer</c:v>
                  </c:pt>
                  <c:pt idx="7">
                    <c:v>Sales Rep</c:v>
                  </c:pt>
                  <c:pt idx="8">
                    <c:v>Operations Officer</c:v>
                  </c:pt>
                  <c:pt idx="9">
                    <c:v>HR Officer</c:v>
                  </c:pt>
                  <c:pt idx="10">
                    <c:v>Sales Rep</c:v>
                  </c:pt>
                  <c:pt idx="11">
                    <c:v>Operations Officer</c:v>
                  </c:pt>
                  <c:pt idx="12">
                    <c:v>HR Officer</c:v>
                  </c:pt>
                  <c:pt idx="13">
                    <c:v>Sales Rep</c:v>
                  </c:pt>
                  <c:pt idx="14">
                    <c:v>Operations Officer</c:v>
                  </c:pt>
                  <c:pt idx="15">
                    <c:v>HR Officer</c:v>
                  </c:pt>
                  <c:pt idx="16">
                    <c:v>Sales Rep</c:v>
                  </c:pt>
                  <c:pt idx="17">
                    <c:v>Sales Rep</c:v>
                  </c:pt>
                  <c:pt idx="18">
                    <c:v>Operations Officer</c:v>
                  </c:pt>
                  <c:pt idx="19">
                    <c:v>HR Officer</c:v>
                  </c:pt>
                  <c:pt idx="20">
                    <c:v>Sales Rep</c:v>
                  </c:pt>
                  <c:pt idx="21">
                    <c:v>Operations Officer</c:v>
                  </c:pt>
                  <c:pt idx="22">
                    <c:v>HR Officer</c:v>
                  </c:pt>
                  <c:pt idx="23">
                    <c:v>Operations Officer</c:v>
                  </c:pt>
                  <c:pt idx="24">
                    <c:v>HR Officer</c:v>
                  </c:pt>
                  <c:pt idx="25">
                    <c:v>Data Analyst</c:v>
                  </c:pt>
                  <c:pt idx="26">
                    <c:v>Marketing Exec</c:v>
                  </c:pt>
                  <c:pt idx="27">
                    <c:v>Data Analyst</c:v>
                  </c:pt>
                  <c:pt idx="28">
                    <c:v>Accountant</c:v>
                  </c:pt>
                  <c:pt idx="29">
                    <c:v>Marketing Exec</c:v>
                  </c:pt>
                  <c:pt idx="30">
                    <c:v>Data Analyst</c:v>
                  </c:pt>
                  <c:pt idx="31">
                    <c:v>Accountant</c:v>
                  </c:pt>
                  <c:pt idx="32">
                    <c:v>Marketing Exec</c:v>
                  </c:pt>
                  <c:pt idx="33">
                    <c:v>Data Analyst</c:v>
                  </c:pt>
                  <c:pt idx="34">
                    <c:v>Accountant</c:v>
                  </c:pt>
                  <c:pt idx="35">
                    <c:v>Marketing Exec</c:v>
                  </c:pt>
                  <c:pt idx="36">
                    <c:v>Accountant</c:v>
                  </c:pt>
                  <c:pt idx="37">
                    <c:v>Data Analyst</c:v>
                  </c:pt>
                  <c:pt idx="38">
                    <c:v>Accountant</c:v>
                  </c:pt>
                  <c:pt idx="39">
                    <c:v>Marketing Exec</c:v>
                  </c:pt>
                  <c:pt idx="40">
                    <c:v>Data Analyst</c:v>
                  </c:pt>
                  <c:pt idx="41">
                    <c:v>Accountant</c:v>
                  </c:pt>
                  <c:pt idx="42">
                    <c:v>Marketing Exec</c:v>
                  </c:pt>
                  <c:pt idx="43">
                    <c:v>Data Analyst</c:v>
                  </c:pt>
                  <c:pt idx="44">
                    <c:v>Accountant</c:v>
                  </c:pt>
                  <c:pt idx="45">
                    <c:v>Marketing Exec</c:v>
                  </c:pt>
                  <c:pt idx="46">
                    <c:v>Data Analyst</c:v>
                  </c:pt>
                  <c:pt idx="47">
                    <c:v>Marketing Exec</c:v>
                  </c:pt>
                  <c:pt idx="48">
                    <c:v>Data Analyst</c:v>
                  </c:pt>
                  <c:pt idx="49">
                    <c:v>Accountant</c:v>
                  </c:pt>
                </c:lvl>
                <c:lvl>
                  <c:pt idx="0">
                    <c:v>Sales</c:v>
                  </c:pt>
                  <c:pt idx="1">
                    <c:v>Operations</c:v>
                  </c:pt>
                  <c:pt idx="2">
                    <c:v>HR</c:v>
                  </c:pt>
                  <c:pt idx="3">
                    <c:v>Sales</c:v>
                  </c:pt>
                  <c:pt idx="4">
                    <c:v>Operations</c:v>
                  </c:pt>
                  <c:pt idx="5">
                    <c:v>HR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Operations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Operations</c:v>
                  </c:pt>
                  <c:pt idx="12">
                    <c:v>HR</c:v>
                  </c:pt>
                  <c:pt idx="13">
                    <c:v>Sales</c:v>
                  </c:pt>
                  <c:pt idx="14">
                    <c:v>Operations</c:v>
                  </c:pt>
                  <c:pt idx="15">
                    <c:v>HR</c:v>
                  </c:pt>
                  <c:pt idx="16">
                    <c:v>Sales</c:v>
                  </c:pt>
                  <c:pt idx="17">
                    <c:v>Sales</c:v>
                  </c:pt>
                  <c:pt idx="18">
                    <c:v>Operations</c:v>
                  </c:pt>
                  <c:pt idx="19">
                    <c:v>HR</c:v>
                  </c:pt>
                  <c:pt idx="20">
                    <c:v>Sales</c:v>
                  </c:pt>
                  <c:pt idx="21">
                    <c:v>Operations</c:v>
                  </c:pt>
                  <c:pt idx="22">
                    <c:v>HR</c:v>
                  </c:pt>
                  <c:pt idx="23">
                    <c:v>Operations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Marketing</c:v>
                  </c:pt>
                  <c:pt idx="27">
                    <c:v>IT</c:v>
                  </c:pt>
                  <c:pt idx="28">
                    <c:v>Finance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Finance</c:v>
                  </c:pt>
                  <c:pt idx="32">
                    <c:v>Marketing</c:v>
                  </c:pt>
                  <c:pt idx="33">
                    <c:v>IT</c:v>
                  </c:pt>
                  <c:pt idx="34">
                    <c:v>Finance</c:v>
                  </c:pt>
                  <c:pt idx="35">
                    <c:v>Marketing</c:v>
                  </c:pt>
                  <c:pt idx="36">
                    <c:v>Finance</c:v>
                  </c:pt>
                  <c:pt idx="37">
                    <c:v>IT</c:v>
                  </c:pt>
                  <c:pt idx="38">
                    <c:v>Finance</c:v>
                  </c:pt>
                  <c:pt idx="39">
                    <c:v>Marketing</c:v>
                  </c:pt>
                  <c:pt idx="40">
                    <c:v>IT</c:v>
                  </c:pt>
                  <c:pt idx="41">
                    <c:v>Finance</c:v>
                  </c:pt>
                  <c:pt idx="42">
                    <c:v>Marketing</c:v>
                  </c:pt>
                  <c:pt idx="43">
                    <c:v>IT</c:v>
                  </c:pt>
                  <c:pt idx="44">
                    <c:v>Finance</c:v>
                  </c:pt>
                  <c:pt idx="45">
                    <c:v>Marketing</c:v>
                  </c:pt>
                  <c:pt idx="46">
                    <c:v>IT</c:v>
                  </c:pt>
                  <c:pt idx="47">
                    <c:v>Marketing</c:v>
                  </c:pt>
                  <c:pt idx="48">
                    <c:v>IT</c:v>
                  </c:pt>
                  <c:pt idx="49">
                    <c:v>Finance</c:v>
                  </c:pt>
                </c:lvl>
                <c:lvl>
                  <c:pt idx="0">
                    <c:v>Employee 10</c:v>
                  </c:pt>
                  <c:pt idx="1">
                    <c:v>Employee 12</c:v>
                  </c:pt>
                  <c:pt idx="2">
                    <c:v>Employee 14</c:v>
                  </c:pt>
                  <c:pt idx="3">
                    <c:v>Employee 16</c:v>
                  </c:pt>
                  <c:pt idx="4">
                    <c:v>Employee 18</c:v>
                  </c:pt>
                  <c:pt idx="5">
                    <c:v>Employee 2</c:v>
                  </c:pt>
                  <c:pt idx="6">
                    <c:v>Employee 20</c:v>
                  </c:pt>
                  <c:pt idx="7">
                    <c:v>Employee 22</c:v>
                  </c:pt>
                  <c:pt idx="8">
                    <c:v>Employee 24</c:v>
                  </c:pt>
                  <c:pt idx="9">
                    <c:v>Employee 26</c:v>
                  </c:pt>
                  <c:pt idx="10">
                    <c:v>Employee 28</c:v>
                  </c:pt>
                  <c:pt idx="11">
                    <c:v>Employee 30</c:v>
                  </c:pt>
                  <c:pt idx="12">
                    <c:v>Employee 32</c:v>
                  </c:pt>
                  <c:pt idx="13">
                    <c:v>Employee 34</c:v>
                  </c:pt>
                  <c:pt idx="14">
                    <c:v>Employee 36</c:v>
                  </c:pt>
                  <c:pt idx="15">
                    <c:v>Employee 38</c:v>
                  </c:pt>
                  <c:pt idx="16">
                    <c:v>Employee 4</c:v>
                  </c:pt>
                  <c:pt idx="17">
                    <c:v>Employee 40</c:v>
                  </c:pt>
                  <c:pt idx="18">
                    <c:v>Employee 42</c:v>
                  </c:pt>
                  <c:pt idx="19">
                    <c:v>Employee 44</c:v>
                  </c:pt>
                  <c:pt idx="20">
                    <c:v>Employee 46</c:v>
                  </c:pt>
                  <c:pt idx="21">
                    <c:v>Employee 48</c:v>
                  </c:pt>
                  <c:pt idx="22">
                    <c:v>Employee 50</c:v>
                  </c:pt>
                  <c:pt idx="23">
                    <c:v>Employee 6</c:v>
                  </c:pt>
                  <c:pt idx="24">
                    <c:v>Employee 8</c:v>
                  </c:pt>
                  <c:pt idx="25">
                    <c:v>Employee 1</c:v>
                  </c:pt>
                  <c:pt idx="26">
                    <c:v>Employee 11</c:v>
                  </c:pt>
                  <c:pt idx="27">
                    <c:v>Employee 13</c:v>
                  </c:pt>
                  <c:pt idx="28">
                    <c:v>Employee 15</c:v>
                  </c:pt>
                  <c:pt idx="29">
                    <c:v>Employee 17</c:v>
                  </c:pt>
                  <c:pt idx="30">
                    <c:v>Employee 19</c:v>
                  </c:pt>
                  <c:pt idx="31">
                    <c:v>Employee 21</c:v>
                  </c:pt>
                  <c:pt idx="32">
                    <c:v>Employee 23</c:v>
                  </c:pt>
                  <c:pt idx="33">
                    <c:v>Employee 25</c:v>
                  </c:pt>
                  <c:pt idx="34">
                    <c:v>Employee 27</c:v>
                  </c:pt>
                  <c:pt idx="35">
                    <c:v>Employee 29</c:v>
                  </c:pt>
                  <c:pt idx="36">
                    <c:v>Employee 3</c:v>
                  </c:pt>
                  <c:pt idx="37">
                    <c:v>Employee 31</c:v>
                  </c:pt>
                  <c:pt idx="38">
                    <c:v>Employee 33</c:v>
                  </c:pt>
                  <c:pt idx="39">
                    <c:v>Employee 35</c:v>
                  </c:pt>
                  <c:pt idx="40">
                    <c:v>Employee 37</c:v>
                  </c:pt>
                  <c:pt idx="41">
                    <c:v>Employee 39</c:v>
                  </c:pt>
                  <c:pt idx="42">
                    <c:v>Employee 41</c:v>
                  </c:pt>
                  <c:pt idx="43">
                    <c:v>Employee 43</c:v>
                  </c:pt>
                  <c:pt idx="44">
                    <c:v>Employee 45</c:v>
                  </c:pt>
                  <c:pt idx="45">
                    <c:v>Employee 47</c:v>
                  </c:pt>
                  <c:pt idx="46">
                    <c:v>Employee 49</c:v>
                  </c:pt>
                  <c:pt idx="47">
                    <c:v>Employee 5</c:v>
                  </c:pt>
                  <c:pt idx="48">
                    <c:v>Employee 7</c:v>
                  </c:pt>
                  <c:pt idx="49">
                    <c:v>Employee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Sheet2!$B$4:$B$356</c:f>
              <c:numCache>
                <c:formatCode>General</c:formatCode>
                <c:ptCount val="50"/>
                <c:pt idx="0">
                  <c:v>2010</c:v>
                </c:pt>
                <c:pt idx="1">
                  <c:v>2012</c:v>
                </c:pt>
                <c:pt idx="2">
                  <c:v>2014</c:v>
                </c:pt>
                <c:pt idx="3">
                  <c:v>2016</c:v>
                </c:pt>
                <c:pt idx="4">
                  <c:v>2018</c:v>
                </c:pt>
                <c:pt idx="5">
                  <c:v>2002</c:v>
                </c:pt>
                <c:pt idx="6">
                  <c:v>2020</c:v>
                </c:pt>
                <c:pt idx="7">
                  <c:v>2022</c:v>
                </c:pt>
                <c:pt idx="8">
                  <c:v>2024</c:v>
                </c:pt>
                <c:pt idx="9">
                  <c:v>2026</c:v>
                </c:pt>
                <c:pt idx="10">
                  <c:v>2028</c:v>
                </c:pt>
                <c:pt idx="11">
                  <c:v>2030</c:v>
                </c:pt>
                <c:pt idx="12">
                  <c:v>2032</c:v>
                </c:pt>
                <c:pt idx="13">
                  <c:v>2034</c:v>
                </c:pt>
                <c:pt idx="14">
                  <c:v>2036</c:v>
                </c:pt>
                <c:pt idx="15">
                  <c:v>2038</c:v>
                </c:pt>
                <c:pt idx="16">
                  <c:v>2004</c:v>
                </c:pt>
                <c:pt idx="17">
                  <c:v>2040</c:v>
                </c:pt>
                <c:pt idx="18">
                  <c:v>2042</c:v>
                </c:pt>
                <c:pt idx="19">
                  <c:v>2044</c:v>
                </c:pt>
                <c:pt idx="20">
                  <c:v>2046</c:v>
                </c:pt>
                <c:pt idx="21">
                  <c:v>2048</c:v>
                </c:pt>
                <c:pt idx="22">
                  <c:v>2050</c:v>
                </c:pt>
                <c:pt idx="23">
                  <c:v>2006</c:v>
                </c:pt>
                <c:pt idx="24">
                  <c:v>2008</c:v>
                </c:pt>
                <c:pt idx="25">
                  <c:v>2001</c:v>
                </c:pt>
                <c:pt idx="26">
                  <c:v>2011</c:v>
                </c:pt>
                <c:pt idx="27">
                  <c:v>2013</c:v>
                </c:pt>
                <c:pt idx="28">
                  <c:v>2015</c:v>
                </c:pt>
                <c:pt idx="29">
                  <c:v>2017</c:v>
                </c:pt>
                <c:pt idx="30">
                  <c:v>2019</c:v>
                </c:pt>
                <c:pt idx="31">
                  <c:v>2021</c:v>
                </c:pt>
                <c:pt idx="32">
                  <c:v>2023</c:v>
                </c:pt>
                <c:pt idx="33">
                  <c:v>2025</c:v>
                </c:pt>
                <c:pt idx="34">
                  <c:v>2027</c:v>
                </c:pt>
                <c:pt idx="35">
                  <c:v>2029</c:v>
                </c:pt>
                <c:pt idx="36">
                  <c:v>2003</c:v>
                </c:pt>
                <c:pt idx="37">
                  <c:v>2031</c:v>
                </c:pt>
                <c:pt idx="38">
                  <c:v>2033</c:v>
                </c:pt>
                <c:pt idx="39">
                  <c:v>2035</c:v>
                </c:pt>
                <c:pt idx="40">
                  <c:v>2037</c:v>
                </c:pt>
                <c:pt idx="41">
                  <c:v>2039</c:v>
                </c:pt>
                <c:pt idx="42">
                  <c:v>2041</c:v>
                </c:pt>
                <c:pt idx="43">
                  <c:v>2043</c:v>
                </c:pt>
                <c:pt idx="44">
                  <c:v>2045</c:v>
                </c:pt>
                <c:pt idx="45">
                  <c:v>2047</c:v>
                </c:pt>
                <c:pt idx="46">
                  <c:v>2049</c:v>
                </c:pt>
                <c:pt idx="47">
                  <c:v>2005</c:v>
                </c:pt>
                <c:pt idx="48">
                  <c:v>2007</c:v>
                </c:pt>
                <c:pt idx="49">
                  <c:v>2009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2-4E47-99CC-C90B3A67258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Sheet2!$A$4:$A$356</c:f>
              <c:multiLvlStrCache>
                <c:ptCount val="50"/>
                <c:lvl>
                  <c:pt idx="0">
                    <c:v>10/10/2024</c:v>
                  </c:pt>
                  <c:pt idx="1">
                    <c:v>12/12/2024</c:v>
                  </c:pt>
                  <c:pt idx="2">
                    <c:v>14/02/2024</c:v>
                  </c:pt>
                  <c:pt idx="3">
                    <c:v>16/04/2024</c:v>
                  </c:pt>
                  <c:pt idx="4">
                    <c:v>18/06/2024</c:v>
                  </c:pt>
                  <c:pt idx="5">
                    <c:v>02/02/2024</c:v>
                  </c:pt>
                  <c:pt idx="6">
                    <c:v>20/08/2024</c:v>
                  </c:pt>
                  <c:pt idx="7">
                    <c:v>22/10/2024</c:v>
                  </c:pt>
                  <c:pt idx="8">
                    <c:v>24/12/2024</c:v>
                  </c:pt>
                  <c:pt idx="9">
                    <c:v>26/02/2024</c:v>
                  </c:pt>
                  <c:pt idx="10">
                    <c:v>28/04/2024</c:v>
                  </c:pt>
                  <c:pt idx="11">
                    <c:v>02/06/2024</c:v>
                  </c:pt>
                  <c:pt idx="12">
                    <c:v>04/08/2024</c:v>
                  </c:pt>
                  <c:pt idx="13">
                    <c:v>06/10/2024</c:v>
                  </c:pt>
                  <c:pt idx="14">
                    <c:v>08/12/2024</c:v>
                  </c:pt>
                  <c:pt idx="15">
                    <c:v>10/02/2024</c:v>
                  </c:pt>
                  <c:pt idx="16">
                    <c:v>04/04/2024</c:v>
                  </c:pt>
                  <c:pt idx="17">
                    <c:v>12/04/2024</c:v>
                  </c:pt>
                  <c:pt idx="18">
                    <c:v>14/06/2024</c:v>
                  </c:pt>
                  <c:pt idx="19">
                    <c:v>16/08/2024</c:v>
                  </c:pt>
                  <c:pt idx="20">
                    <c:v>18/10/2024</c:v>
                  </c:pt>
                  <c:pt idx="21">
                    <c:v>20/12/2024</c:v>
                  </c:pt>
                  <c:pt idx="22">
                    <c:v>22/02/2024</c:v>
                  </c:pt>
                  <c:pt idx="23">
                    <c:v>06/06/2024</c:v>
                  </c:pt>
                  <c:pt idx="24">
                    <c:v>08/08/2024</c:v>
                  </c:pt>
                  <c:pt idx="25">
                    <c:v>01/01/2024</c:v>
                  </c:pt>
                  <c:pt idx="26">
                    <c:v>11/11/2024</c:v>
                  </c:pt>
                  <c:pt idx="27">
                    <c:v>13/01/2024</c:v>
                  </c:pt>
                  <c:pt idx="28">
                    <c:v>15/03/2024</c:v>
                  </c:pt>
                  <c:pt idx="29">
                    <c:v>17/05/2024</c:v>
                  </c:pt>
                  <c:pt idx="30">
                    <c:v>19/07/2024</c:v>
                  </c:pt>
                  <c:pt idx="31">
                    <c:v>21/09/2024</c:v>
                  </c:pt>
                  <c:pt idx="32">
                    <c:v>23/11/2024</c:v>
                  </c:pt>
                  <c:pt idx="33">
                    <c:v>25/01/2024</c:v>
                  </c:pt>
                  <c:pt idx="34">
                    <c:v>27/03/2024</c:v>
                  </c:pt>
                  <c:pt idx="35">
                    <c:v>01/05/2024</c:v>
                  </c:pt>
                  <c:pt idx="36">
                    <c:v>03/03/2024</c:v>
                  </c:pt>
                  <c:pt idx="37">
                    <c:v>03/07/2024</c:v>
                  </c:pt>
                  <c:pt idx="38">
                    <c:v>05/09/2024</c:v>
                  </c:pt>
                  <c:pt idx="39">
                    <c:v>07/11/2024</c:v>
                  </c:pt>
                  <c:pt idx="40">
                    <c:v>09/01/2024</c:v>
                  </c:pt>
                  <c:pt idx="41">
                    <c:v>11/03/2024</c:v>
                  </c:pt>
                  <c:pt idx="42">
                    <c:v>13/05/2024</c:v>
                  </c:pt>
                  <c:pt idx="43">
                    <c:v>15/07/2024</c:v>
                  </c:pt>
                  <c:pt idx="44">
                    <c:v>17/09/2024</c:v>
                  </c:pt>
                  <c:pt idx="45">
                    <c:v>19/11/2024</c:v>
                  </c:pt>
                  <c:pt idx="46">
                    <c:v>21/01/2024</c:v>
                  </c:pt>
                  <c:pt idx="47">
                    <c:v>05/05/2024</c:v>
                  </c:pt>
                  <c:pt idx="48">
                    <c:v>07/07/2024</c:v>
                  </c:pt>
                  <c:pt idx="49">
                    <c:v>09/09/2024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Abuja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Abuja</c:v>
                  </c:pt>
                  <c:pt idx="6">
                    <c:v>Abuja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Abuja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Abuja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Abuja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Abuja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Abuja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Owerri</c:v>
                  </c:pt>
                  <c:pt idx="27">
                    <c:v>Lagos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Lagos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Lagos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Lagos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Lagos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Lagos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Lagos</c:v>
                  </c:pt>
                  <c:pt idx="47">
                    <c:v>Owerri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Active</c:v>
                  </c:pt>
                  <c:pt idx="1">
                    <c:v>Resigned</c:v>
                  </c:pt>
                  <c:pt idx="2">
                    <c:v>Active</c:v>
                  </c:pt>
                  <c:pt idx="3">
                    <c:v>Resigned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Resigned</c:v>
                  </c:pt>
                  <c:pt idx="7">
                    <c:v>Active</c:v>
                  </c:pt>
                  <c:pt idx="8">
                    <c:v>Resigned</c:v>
                  </c:pt>
                  <c:pt idx="9">
                    <c:v>Active</c:v>
                  </c:pt>
                  <c:pt idx="10">
                    <c:v>Resigned</c:v>
                  </c:pt>
                  <c:pt idx="11">
                    <c:v>Active</c:v>
                  </c:pt>
                  <c:pt idx="12">
                    <c:v>Resigned</c:v>
                  </c:pt>
                  <c:pt idx="13">
                    <c:v>Active</c:v>
                  </c:pt>
                  <c:pt idx="14">
                    <c:v>Resigned</c:v>
                  </c:pt>
                  <c:pt idx="15">
                    <c:v>Active</c:v>
                  </c:pt>
                  <c:pt idx="16">
                    <c:v>Resigned</c:v>
                  </c:pt>
                  <c:pt idx="17">
                    <c:v>Resigned</c:v>
                  </c:pt>
                  <c:pt idx="18">
                    <c:v>Active</c:v>
                  </c:pt>
                  <c:pt idx="19">
                    <c:v>Resigned</c:v>
                  </c:pt>
                  <c:pt idx="20">
                    <c:v>Active</c:v>
                  </c:pt>
                  <c:pt idx="21">
                    <c:v>Resigned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Resigned</c:v>
                  </c:pt>
                  <c:pt idx="25">
                    <c:v>Active</c:v>
                  </c:pt>
                  <c:pt idx="26">
                    <c:v>On Leave</c:v>
                  </c:pt>
                  <c:pt idx="27">
                    <c:v>Active</c:v>
                  </c:pt>
                  <c:pt idx="28">
                    <c:v>On Leave</c:v>
                  </c:pt>
                  <c:pt idx="29">
                    <c:v>Active</c:v>
                  </c:pt>
                  <c:pt idx="30">
                    <c:v>On Leave</c:v>
                  </c:pt>
                  <c:pt idx="31">
                    <c:v>Active</c:v>
                  </c:pt>
                  <c:pt idx="32">
                    <c:v>On Leave</c:v>
                  </c:pt>
                  <c:pt idx="33">
                    <c:v>Active</c:v>
                  </c:pt>
                  <c:pt idx="34">
                    <c:v>On Leave</c:v>
                  </c:pt>
                  <c:pt idx="35">
                    <c:v>Active</c:v>
                  </c:pt>
                  <c:pt idx="36">
                    <c:v>On Leave</c:v>
                  </c:pt>
                  <c:pt idx="37">
                    <c:v>On Leave</c:v>
                  </c:pt>
                  <c:pt idx="38">
                    <c:v>Active</c:v>
                  </c:pt>
                  <c:pt idx="39">
                    <c:v>On Leave</c:v>
                  </c:pt>
                  <c:pt idx="40">
                    <c:v>Active</c:v>
                  </c:pt>
                  <c:pt idx="41">
                    <c:v>On Leave</c:v>
                  </c:pt>
                  <c:pt idx="42">
                    <c:v>Active</c:v>
                  </c:pt>
                  <c:pt idx="43">
                    <c:v>On Leave</c:v>
                  </c:pt>
                  <c:pt idx="44">
                    <c:v>Active</c:v>
                  </c:pt>
                  <c:pt idx="45">
                    <c:v>On Leave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On Leave</c:v>
                  </c:pt>
                  <c:pt idx="49">
                    <c:v>Active</c:v>
                  </c:pt>
                </c:lvl>
                <c:lvl>
                  <c:pt idx="0">
                    <c:v>HND</c:v>
                  </c:pt>
                  <c:pt idx="1">
                    <c:v>OND</c:v>
                  </c:pt>
                  <c:pt idx="2">
                    <c:v>HND</c:v>
                  </c:pt>
                  <c:pt idx="3">
                    <c:v>OND</c:v>
                  </c:pt>
                  <c:pt idx="4">
                    <c:v>HND</c:v>
                  </c:pt>
                  <c:pt idx="5">
                    <c:v>HND</c:v>
                  </c:pt>
                  <c:pt idx="6">
                    <c:v>OND</c:v>
                  </c:pt>
                  <c:pt idx="7">
                    <c:v>HND</c:v>
                  </c:pt>
                  <c:pt idx="8">
                    <c:v>OND</c:v>
                  </c:pt>
                  <c:pt idx="9">
                    <c:v>HND</c:v>
                  </c:pt>
                  <c:pt idx="10">
                    <c:v>OND</c:v>
                  </c:pt>
                  <c:pt idx="11">
                    <c:v>HND</c:v>
                  </c:pt>
                  <c:pt idx="12">
                    <c:v>OND</c:v>
                  </c:pt>
                  <c:pt idx="13">
                    <c:v>HND</c:v>
                  </c:pt>
                  <c:pt idx="14">
                    <c:v>OND</c:v>
                  </c:pt>
                  <c:pt idx="15">
                    <c:v>HND</c:v>
                  </c:pt>
                  <c:pt idx="16">
                    <c:v>OND</c:v>
                  </c:pt>
                  <c:pt idx="17">
                    <c:v>OND</c:v>
                  </c:pt>
                  <c:pt idx="18">
                    <c:v>HND</c:v>
                  </c:pt>
                  <c:pt idx="19">
                    <c:v>OND</c:v>
                  </c:pt>
                  <c:pt idx="20">
                    <c:v>HND</c:v>
                  </c:pt>
                  <c:pt idx="21">
                    <c:v>OND</c:v>
                  </c:pt>
                  <c:pt idx="22">
                    <c:v>HND</c:v>
                  </c:pt>
                  <c:pt idx="23">
                    <c:v>HND</c:v>
                  </c:pt>
                  <c:pt idx="24">
                    <c:v>OND</c:v>
                  </c:pt>
                  <c:pt idx="25">
                    <c:v>BSc</c:v>
                  </c:pt>
                  <c:pt idx="26">
                    <c:v>MSc</c:v>
                  </c:pt>
                  <c:pt idx="27">
                    <c:v>BSc</c:v>
                  </c:pt>
                  <c:pt idx="28">
                    <c:v>MSc</c:v>
                  </c:pt>
                  <c:pt idx="29">
                    <c:v>BSc</c:v>
                  </c:pt>
                  <c:pt idx="30">
                    <c:v>MSc</c:v>
                  </c:pt>
                  <c:pt idx="31">
                    <c:v>BSc</c:v>
                  </c:pt>
                  <c:pt idx="32">
                    <c:v>MSc</c:v>
                  </c:pt>
                  <c:pt idx="33">
                    <c:v>BSc</c:v>
                  </c:pt>
                  <c:pt idx="34">
                    <c:v>MSc</c:v>
                  </c:pt>
                  <c:pt idx="35">
                    <c:v>BSc</c:v>
                  </c:pt>
                  <c:pt idx="36">
                    <c:v>MSc</c:v>
                  </c:pt>
                  <c:pt idx="37">
                    <c:v>MSc</c:v>
                  </c:pt>
                  <c:pt idx="38">
                    <c:v>BSc</c:v>
                  </c:pt>
                  <c:pt idx="39">
                    <c:v>MSc</c:v>
                  </c:pt>
                  <c:pt idx="40">
                    <c:v>BSc</c:v>
                  </c:pt>
                  <c:pt idx="41">
                    <c:v>MSc</c:v>
                  </c:pt>
                  <c:pt idx="42">
                    <c:v>BSc</c:v>
                  </c:pt>
                  <c:pt idx="43">
                    <c:v>MSc</c:v>
                  </c:pt>
                  <c:pt idx="44">
                    <c:v>BSc</c:v>
                  </c:pt>
                  <c:pt idx="45">
                    <c:v>MSc</c:v>
                  </c:pt>
                  <c:pt idx="46">
                    <c:v>BSc</c:v>
                  </c:pt>
                  <c:pt idx="47">
                    <c:v>BSc</c:v>
                  </c:pt>
                  <c:pt idx="48">
                    <c:v>MSc</c:v>
                  </c:pt>
                  <c:pt idx="49">
                    <c:v>BSc</c:v>
                  </c:pt>
                </c:lvl>
                <c:lvl>
                  <c:pt idx="0">
                    <c:v>Sales Rep</c:v>
                  </c:pt>
                  <c:pt idx="1">
                    <c:v>Operations Officer</c:v>
                  </c:pt>
                  <c:pt idx="2">
                    <c:v>HR Officer</c:v>
                  </c:pt>
                  <c:pt idx="3">
                    <c:v>Sales Rep</c:v>
                  </c:pt>
                  <c:pt idx="4">
                    <c:v>Operations Officer</c:v>
                  </c:pt>
                  <c:pt idx="5">
                    <c:v>HR Officer</c:v>
                  </c:pt>
                  <c:pt idx="6">
                    <c:v>HR Officer</c:v>
                  </c:pt>
                  <c:pt idx="7">
                    <c:v>Sales Rep</c:v>
                  </c:pt>
                  <c:pt idx="8">
                    <c:v>Operations Officer</c:v>
                  </c:pt>
                  <c:pt idx="9">
                    <c:v>HR Officer</c:v>
                  </c:pt>
                  <c:pt idx="10">
                    <c:v>Sales Rep</c:v>
                  </c:pt>
                  <c:pt idx="11">
                    <c:v>Operations Officer</c:v>
                  </c:pt>
                  <c:pt idx="12">
                    <c:v>HR Officer</c:v>
                  </c:pt>
                  <c:pt idx="13">
                    <c:v>Sales Rep</c:v>
                  </c:pt>
                  <c:pt idx="14">
                    <c:v>Operations Officer</c:v>
                  </c:pt>
                  <c:pt idx="15">
                    <c:v>HR Officer</c:v>
                  </c:pt>
                  <c:pt idx="16">
                    <c:v>Sales Rep</c:v>
                  </c:pt>
                  <c:pt idx="17">
                    <c:v>Sales Rep</c:v>
                  </c:pt>
                  <c:pt idx="18">
                    <c:v>Operations Officer</c:v>
                  </c:pt>
                  <c:pt idx="19">
                    <c:v>HR Officer</c:v>
                  </c:pt>
                  <c:pt idx="20">
                    <c:v>Sales Rep</c:v>
                  </c:pt>
                  <c:pt idx="21">
                    <c:v>Operations Officer</c:v>
                  </c:pt>
                  <c:pt idx="22">
                    <c:v>HR Officer</c:v>
                  </c:pt>
                  <c:pt idx="23">
                    <c:v>Operations Officer</c:v>
                  </c:pt>
                  <c:pt idx="24">
                    <c:v>HR Officer</c:v>
                  </c:pt>
                  <c:pt idx="25">
                    <c:v>Data Analyst</c:v>
                  </c:pt>
                  <c:pt idx="26">
                    <c:v>Marketing Exec</c:v>
                  </c:pt>
                  <c:pt idx="27">
                    <c:v>Data Analyst</c:v>
                  </c:pt>
                  <c:pt idx="28">
                    <c:v>Accountant</c:v>
                  </c:pt>
                  <c:pt idx="29">
                    <c:v>Marketing Exec</c:v>
                  </c:pt>
                  <c:pt idx="30">
                    <c:v>Data Analyst</c:v>
                  </c:pt>
                  <c:pt idx="31">
                    <c:v>Accountant</c:v>
                  </c:pt>
                  <c:pt idx="32">
                    <c:v>Marketing Exec</c:v>
                  </c:pt>
                  <c:pt idx="33">
                    <c:v>Data Analyst</c:v>
                  </c:pt>
                  <c:pt idx="34">
                    <c:v>Accountant</c:v>
                  </c:pt>
                  <c:pt idx="35">
                    <c:v>Marketing Exec</c:v>
                  </c:pt>
                  <c:pt idx="36">
                    <c:v>Accountant</c:v>
                  </c:pt>
                  <c:pt idx="37">
                    <c:v>Data Analyst</c:v>
                  </c:pt>
                  <c:pt idx="38">
                    <c:v>Accountant</c:v>
                  </c:pt>
                  <c:pt idx="39">
                    <c:v>Marketing Exec</c:v>
                  </c:pt>
                  <c:pt idx="40">
                    <c:v>Data Analyst</c:v>
                  </c:pt>
                  <c:pt idx="41">
                    <c:v>Accountant</c:v>
                  </c:pt>
                  <c:pt idx="42">
                    <c:v>Marketing Exec</c:v>
                  </c:pt>
                  <c:pt idx="43">
                    <c:v>Data Analyst</c:v>
                  </c:pt>
                  <c:pt idx="44">
                    <c:v>Accountant</c:v>
                  </c:pt>
                  <c:pt idx="45">
                    <c:v>Marketing Exec</c:v>
                  </c:pt>
                  <c:pt idx="46">
                    <c:v>Data Analyst</c:v>
                  </c:pt>
                  <c:pt idx="47">
                    <c:v>Marketing Exec</c:v>
                  </c:pt>
                  <c:pt idx="48">
                    <c:v>Data Analyst</c:v>
                  </c:pt>
                  <c:pt idx="49">
                    <c:v>Accountant</c:v>
                  </c:pt>
                </c:lvl>
                <c:lvl>
                  <c:pt idx="0">
                    <c:v>Sales</c:v>
                  </c:pt>
                  <c:pt idx="1">
                    <c:v>Operations</c:v>
                  </c:pt>
                  <c:pt idx="2">
                    <c:v>HR</c:v>
                  </c:pt>
                  <c:pt idx="3">
                    <c:v>Sales</c:v>
                  </c:pt>
                  <c:pt idx="4">
                    <c:v>Operations</c:v>
                  </c:pt>
                  <c:pt idx="5">
                    <c:v>HR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Operations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Operations</c:v>
                  </c:pt>
                  <c:pt idx="12">
                    <c:v>HR</c:v>
                  </c:pt>
                  <c:pt idx="13">
                    <c:v>Sales</c:v>
                  </c:pt>
                  <c:pt idx="14">
                    <c:v>Operations</c:v>
                  </c:pt>
                  <c:pt idx="15">
                    <c:v>HR</c:v>
                  </c:pt>
                  <c:pt idx="16">
                    <c:v>Sales</c:v>
                  </c:pt>
                  <c:pt idx="17">
                    <c:v>Sales</c:v>
                  </c:pt>
                  <c:pt idx="18">
                    <c:v>Operations</c:v>
                  </c:pt>
                  <c:pt idx="19">
                    <c:v>HR</c:v>
                  </c:pt>
                  <c:pt idx="20">
                    <c:v>Sales</c:v>
                  </c:pt>
                  <c:pt idx="21">
                    <c:v>Operations</c:v>
                  </c:pt>
                  <c:pt idx="22">
                    <c:v>HR</c:v>
                  </c:pt>
                  <c:pt idx="23">
                    <c:v>Operations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Marketing</c:v>
                  </c:pt>
                  <c:pt idx="27">
                    <c:v>IT</c:v>
                  </c:pt>
                  <c:pt idx="28">
                    <c:v>Finance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Finance</c:v>
                  </c:pt>
                  <c:pt idx="32">
                    <c:v>Marketing</c:v>
                  </c:pt>
                  <c:pt idx="33">
                    <c:v>IT</c:v>
                  </c:pt>
                  <c:pt idx="34">
                    <c:v>Finance</c:v>
                  </c:pt>
                  <c:pt idx="35">
                    <c:v>Marketing</c:v>
                  </c:pt>
                  <c:pt idx="36">
                    <c:v>Finance</c:v>
                  </c:pt>
                  <c:pt idx="37">
                    <c:v>IT</c:v>
                  </c:pt>
                  <c:pt idx="38">
                    <c:v>Finance</c:v>
                  </c:pt>
                  <c:pt idx="39">
                    <c:v>Marketing</c:v>
                  </c:pt>
                  <c:pt idx="40">
                    <c:v>IT</c:v>
                  </c:pt>
                  <c:pt idx="41">
                    <c:v>Finance</c:v>
                  </c:pt>
                  <c:pt idx="42">
                    <c:v>Marketing</c:v>
                  </c:pt>
                  <c:pt idx="43">
                    <c:v>IT</c:v>
                  </c:pt>
                  <c:pt idx="44">
                    <c:v>Finance</c:v>
                  </c:pt>
                  <c:pt idx="45">
                    <c:v>Marketing</c:v>
                  </c:pt>
                  <c:pt idx="46">
                    <c:v>IT</c:v>
                  </c:pt>
                  <c:pt idx="47">
                    <c:v>Marketing</c:v>
                  </c:pt>
                  <c:pt idx="48">
                    <c:v>IT</c:v>
                  </c:pt>
                  <c:pt idx="49">
                    <c:v>Finance</c:v>
                  </c:pt>
                </c:lvl>
                <c:lvl>
                  <c:pt idx="0">
                    <c:v>Employee 10</c:v>
                  </c:pt>
                  <c:pt idx="1">
                    <c:v>Employee 12</c:v>
                  </c:pt>
                  <c:pt idx="2">
                    <c:v>Employee 14</c:v>
                  </c:pt>
                  <c:pt idx="3">
                    <c:v>Employee 16</c:v>
                  </c:pt>
                  <c:pt idx="4">
                    <c:v>Employee 18</c:v>
                  </c:pt>
                  <c:pt idx="5">
                    <c:v>Employee 2</c:v>
                  </c:pt>
                  <c:pt idx="6">
                    <c:v>Employee 20</c:v>
                  </c:pt>
                  <c:pt idx="7">
                    <c:v>Employee 22</c:v>
                  </c:pt>
                  <c:pt idx="8">
                    <c:v>Employee 24</c:v>
                  </c:pt>
                  <c:pt idx="9">
                    <c:v>Employee 26</c:v>
                  </c:pt>
                  <c:pt idx="10">
                    <c:v>Employee 28</c:v>
                  </c:pt>
                  <c:pt idx="11">
                    <c:v>Employee 30</c:v>
                  </c:pt>
                  <c:pt idx="12">
                    <c:v>Employee 32</c:v>
                  </c:pt>
                  <c:pt idx="13">
                    <c:v>Employee 34</c:v>
                  </c:pt>
                  <c:pt idx="14">
                    <c:v>Employee 36</c:v>
                  </c:pt>
                  <c:pt idx="15">
                    <c:v>Employee 38</c:v>
                  </c:pt>
                  <c:pt idx="16">
                    <c:v>Employee 4</c:v>
                  </c:pt>
                  <c:pt idx="17">
                    <c:v>Employee 40</c:v>
                  </c:pt>
                  <c:pt idx="18">
                    <c:v>Employee 42</c:v>
                  </c:pt>
                  <c:pt idx="19">
                    <c:v>Employee 44</c:v>
                  </c:pt>
                  <c:pt idx="20">
                    <c:v>Employee 46</c:v>
                  </c:pt>
                  <c:pt idx="21">
                    <c:v>Employee 48</c:v>
                  </c:pt>
                  <c:pt idx="22">
                    <c:v>Employee 50</c:v>
                  </c:pt>
                  <c:pt idx="23">
                    <c:v>Employee 6</c:v>
                  </c:pt>
                  <c:pt idx="24">
                    <c:v>Employee 8</c:v>
                  </c:pt>
                  <c:pt idx="25">
                    <c:v>Employee 1</c:v>
                  </c:pt>
                  <c:pt idx="26">
                    <c:v>Employee 11</c:v>
                  </c:pt>
                  <c:pt idx="27">
                    <c:v>Employee 13</c:v>
                  </c:pt>
                  <c:pt idx="28">
                    <c:v>Employee 15</c:v>
                  </c:pt>
                  <c:pt idx="29">
                    <c:v>Employee 17</c:v>
                  </c:pt>
                  <c:pt idx="30">
                    <c:v>Employee 19</c:v>
                  </c:pt>
                  <c:pt idx="31">
                    <c:v>Employee 21</c:v>
                  </c:pt>
                  <c:pt idx="32">
                    <c:v>Employee 23</c:v>
                  </c:pt>
                  <c:pt idx="33">
                    <c:v>Employee 25</c:v>
                  </c:pt>
                  <c:pt idx="34">
                    <c:v>Employee 27</c:v>
                  </c:pt>
                  <c:pt idx="35">
                    <c:v>Employee 29</c:v>
                  </c:pt>
                  <c:pt idx="36">
                    <c:v>Employee 3</c:v>
                  </c:pt>
                  <c:pt idx="37">
                    <c:v>Employee 31</c:v>
                  </c:pt>
                  <c:pt idx="38">
                    <c:v>Employee 33</c:v>
                  </c:pt>
                  <c:pt idx="39">
                    <c:v>Employee 35</c:v>
                  </c:pt>
                  <c:pt idx="40">
                    <c:v>Employee 37</c:v>
                  </c:pt>
                  <c:pt idx="41">
                    <c:v>Employee 39</c:v>
                  </c:pt>
                  <c:pt idx="42">
                    <c:v>Employee 41</c:v>
                  </c:pt>
                  <c:pt idx="43">
                    <c:v>Employee 43</c:v>
                  </c:pt>
                  <c:pt idx="44">
                    <c:v>Employee 45</c:v>
                  </c:pt>
                  <c:pt idx="45">
                    <c:v>Employee 47</c:v>
                  </c:pt>
                  <c:pt idx="46">
                    <c:v>Employee 49</c:v>
                  </c:pt>
                  <c:pt idx="47">
                    <c:v>Employee 5</c:v>
                  </c:pt>
                  <c:pt idx="48">
                    <c:v>Employee 7</c:v>
                  </c:pt>
                  <c:pt idx="49">
                    <c:v>Employee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Sheet2!$C$4:$C$356</c:f>
              <c:numCache>
                <c:formatCode>General</c:formatCode>
                <c:ptCount val="50"/>
                <c:pt idx="0">
                  <c:v>32</c:v>
                </c:pt>
                <c:pt idx="1">
                  <c:v>34</c:v>
                </c:pt>
                <c:pt idx="2">
                  <c:v>36</c:v>
                </c:pt>
                <c:pt idx="3">
                  <c:v>38</c:v>
                </c:pt>
                <c:pt idx="4">
                  <c:v>40</c:v>
                </c:pt>
                <c:pt idx="5">
                  <c:v>24</c:v>
                </c:pt>
                <c:pt idx="6">
                  <c:v>23</c:v>
                </c:pt>
                <c:pt idx="7">
                  <c:v>25</c:v>
                </c:pt>
                <c:pt idx="8">
                  <c:v>27</c:v>
                </c:pt>
                <c:pt idx="9">
                  <c:v>29</c:v>
                </c:pt>
                <c:pt idx="10">
                  <c:v>31</c:v>
                </c:pt>
                <c:pt idx="11">
                  <c:v>33</c:v>
                </c:pt>
                <c:pt idx="12">
                  <c:v>35</c:v>
                </c:pt>
                <c:pt idx="13">
                  <c:v>37</c:v>
                </c:pt>
                <c:pt idx="14">
                  <c:v>39</c:v>
                </c:pt>
                <c:pt idx="15">
                  <c:v>22</c:v>
                </c:pt>
                <c:pt idx="16">
                  <c:v>26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28</c:v>
                </c:pt>
                <c:pt idx="24">
                  <c:v>30</c:v>
                </c:pt>
                <c:pt idx="25">
                  <c:v>23</c:v>
                </c:pt>
                <c:pt idx="26">
                  <c:v>33</c:v>
                </c:pt>
                <c:pt idx="27">
                  <c:v>35</c:v>
                </c:pt>
                <c:pt idx="28">
                  <c:v>37</c:v>
                </c:pt>
                <c:pt idx="29">
                  <c:v>39</c:v>
                </c:pt>
                <c:pt idx="30">
                  <c:v>22</c:v>
                </c:pt>
                <c:pt idx="31">
                  <c:v>24</c:v>
                </c:pt>
                <c:pt idx="32">
                  <c:v>26</c:v>
                </c:pt>
                <c:pt idx="33">
                  <c:v>28</c:v>
                </c:pt>
                <c:pt idx="34">
                  <c:v>30</c:v>
                </c:pt>
                <c:pt idx="35">
                  <c:v>32</c:v>
                </c:pt>
                <c:pt idx="36">
                  <c:v>25</c:v>
                </c:pt>
                <c:pt idx="37">
                  <c:v>34</c:v>
                </c:pt>
                <c:pt idx="38">
                  <c:v>36</c:v>
                </c:pt>
                <c:pt idx="39">
                  <c:v>38</c:v>
                </c:pt>
                <c:pt idx="40">
                  <c:v>40</c:v>
                </c:pt>
                <c:pt idx="41">
                  <c:v>23</c:v>
                </c:pt>
                <c:pt idx="42">
                  <c:v>25</c:v>
                </c:pt>
                <c:pt idx="43">
                  <c:v>27</c:v>
                </c:pt>
                <c:pt idx="44">
                  <c:v>29</c:v>
                </c:pt>
                <c:pt idx="45">
                  <c:v>31</c:v>
                </c:pt>
                <c:pt idx="46">
                  <c:v>33</c:v>
                </c:pt>
                <c:pt idx="47">
                  <c:v>27</c:v>
                </c:pt>
                <c:pt idx="48">
                  <c:v>29</c:v>
                </c:pt>
                <c:pt idx="4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02-4E47-99CC-C90B3A67258B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Sheet2!$A$4:$A$356</c:f>
              <c:multiLvlStrCache>
                <c:ptCount val="50"/>
                <c:lvl>
                  <c:pt idx="0">
                    <c:v>10/10/2024</c:v>
                  </c:pt>
                  <c:pt idx="1">
                    <c:v>12/12/2024</c:v>
                  </c:pt>
                  <c:pt idx="2">
                    <c:v>14/02/2024</c:v>
                  </c:pt>
                  <c:pt idx="3">
                    <c:v>16/04/2024</c:v>
                  </c:pt>
                  <c:pt idx="4">
                    <c:v>18/06/2024</c:v>
                  </c:pt>
                  <c:pt idx="5">
                    <c:v>02/02/2024</c:v>
                  </c:pt>
                  <c:pt idx="6">
                    <c:v>20/08/2024</c:v>
                  </c:pt>
                  <c:pt idx="7">
                    <c:v>22/10/2024</c:v>
                  </c:pt>
                  <c:pt idx="8">
                    <c:v>24/12/2024</c:v>
                  </c:pt>
                  <c:pt idx="9">
                    <c:v>26/02/2024</c:v>
                  </c:pt>
                  <c:pt idx="10">
                    <c:v>28/04/2024</c:v>
                  </c:pt>
                  <c:pt idx="11">
                    <c:v>02/06/2024</c:v>
                  </c:pt>
                  <c:pt idx="12">
                    <c:v>04/08/2024</c:v>
                  </c:pt>
                  <c:pt idx="13">
                    <c:v>06/10/2024</c:v>
                  </c:pt>
                  <c:pt idx="14">
                    <c:v>08/12/2024</c:v>
                  </c:pt>
                  <c:pt idx="15">
                    <c:v>10/02/2024</c:v>
                  </c:pt>
                  <c:pt idx="16">
                    <c:v>04/04/2024</c:v>
                  </c:pt>
                  <c:pt idx="17">
                    <c:v>12/04/2024</c:v>
                  </c:pt>
                  <c:pt idx="18">
                    <c:v>14/06/2024</c:v>
                  </c:pt>
                  <c:pt idx="19">
                    <c:v>16/08/2024</c:v>
                  </c:pt>
                  <c:pt idx="20">
                    <c:v>18/10/2024</c:v>
                  </c:pt>
                  <c:pt idx="21">
                    <c:v>20/12/2024</c:v>
                  </c:pt>
                  <c:pt idx="22">
                    <c:v>22/02/2024</c:v>
                  </c:pt>
                  <c:pt idx="23">
                    <c:v>06/06/2024</c:v>
                  </c:pt>
                  <c:pt idx="24">
                    <c:v>08/08/2024</c:v>
                  </c:pt>
                  <c:pt idx="25">
                    <c:v>01/01/2024</c:v>
                  </c:pt>
                  <c:pt idx="26">
                    <c:v>11/11/2024</c:v>
                  </c:pt>
                  <c:pt idx="27">
                    <c:v>13/01/2024</c:v>
                  </c:pt>
                  <c:pt idx="28">
                    <c:v>15/03/2024</c:v>
                  </c:pt>
                  <c:pt idx="29">
                    <c:v>17/05/2024</c:v>
                  </c:pt>
                  <c:pt idx="30">
                    <c:v>19/07/2024</c:v>
                  </c:pt>
                  <c:pt idx="31">
                    <c:v>21/09/2024</c:v>
                  </c:pt>
                  <c:pt idx="32">
                    <c:v>23/11/2024</c:v>
                  </c:pt>
                  <c:pt idx="33">
                    <c:v>25/01/2024</c:v>
                  </c:pt>
                  <c:pt idx="34">
                    <c:v>27/03/2024</c:v>
                  </c:pt>
                  <c:pt idx="35">
                    <c:v>01/05/2024</c:v>
                  </c:pt>
                  <c:pt idx="36">
                    <c:v>03/03/2024</c:v>
                  </c:pt>
                  <c:pt idx="37">
                    <c:v>03/07/2024</c:v>
                  </c:pt>
                  <c:pt idx="38">
                    <c:v>05/09/2024</c:v>
                  </c:pt>
                  <c:pt idx="39">
                    <c:v>07/11/2024</c:v>
                  </c:pt>
                  <c:pt idx="40">
                    <c:v>09/01/2024</c:v>
                  </c:pt>
                  <c:pt idx="41">
                    <c:v>11/03/2024</c:v>
                  </c:pt>
                  <c:pt idx="42">
                    <c:v>13/05/2024</c:v>
                  </c:pt>
                  <c:pt idx="43">
                    <c:v>15/07/2024</c:v>
                  </c:pt>
                  <c:pt idx="44">
                    <c:v>17/09/2024</c:v>
                  </c:pt>
                  <c:pt idx="45">
                    <c:v>19/11/2024</c:v>
                  </c:pt>
                  <c:pt idx="46">
                    <c:v>21/01/2024</c:v>
                  </c:pt>
                  <c:pt idx="47">
                    <c:v>05/05/2024</c:v>
                  </c:pt>
                  <c:pt idx="48">
                    <c:v>07/07/2024</c:v>
                  </c:pt>
                  <c:pt idx="49">
                    <c:v>09/09/2024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Abuja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Abuja</c:v>
                  </c:pt>
                  <c:pt idx="6">
                    <c:v>Abuja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Abuja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Abuja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Abuja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Abuja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Abuja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Owerri</c:v>
                  </c:pt>
                  <c:pt idx="27">
                    <c:v>Lagos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Lagos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Lagos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Lagos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Lagos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Lagos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Lagos</c:v>
                  </c:pt>
                  <c:pt idx="47">
                    <c:v>Owerri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Active</c:v>
                  </c:pt>
                  <c:pt idx="1">
                    <c:v>Resigned</c:v>
                  </c:pt>
                  <c:pt idx="2">
                    <c:v>Active</c:v>
                  </c:pt>
                  <c:pt idx="3">
                    <c:v>Resigned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Resigned</c:v>
                  </c:pt>
                  <c:pt idx="7">
                    <c:v>Active</c:v>
                  </c:pt>
                  <c:pt idx="8">
                    <c:v>Resigned</c:v>
                  </c:pt>
                  <c:pt idx="9">
                    <c:v>Active</c:v>
                  </c:pt>
                  <c:pt idx="10">
                    <c:v>Resigned</c:v>
                  </c:pt>
                  <c:pt idx="11">
                    <c:v>Active</c:v>
                  </c:pt>
                  <c:pt idx="12">
                    <c:v>Resigned</c:v>
                  </c:pt>
                  <c:pt idx="13">
                    <c:v>Active</c:v>
                  </c:pt>
                  <c:pt idx="14">
                    <c:v>Resigned</c:v>
                  </c:pt>
                  <c:pt idx="15">
                    <c:v>Active</c:v>
                  </c:pt>
                  <c:pt idx="16">
                    <c:v>Resigned</c:v>
                  </c:pt>
                  <c:pt idx="17">
                    <c:v>Resigned</c:v>
                  </c:pt>
                  <c:pt idx="18">
                    <c:v>Active</c:v>
                  </c:pt>
                  <c:pt idx="19">
                    <c:v>Resigned</c:v>
                  </c:pt>
                  <c:pt idx="20">
                    <c:v>Active</c:v>
                  </c:pt>
                  <c:pt idx="21">
                    <c:v>Resigned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Resigned</c:v>
                  </c:pt>
                  <c:pt idx="25">
                    <c:v>Active</c:v>
                  </c:pt>
                  <c:pt idx="26">
                    <c:v>On Leave</c:v>
                  </c:pt>
                  <c:pt idx="27">
                    <c:v>Active</c:v>
                  </c:pt>
                  <c:pt idx="28">
                    <c:v>On Leave</c:v>
                  </c:pt>
                  <c:pt idx="29">
                    <c:v>Active</c:v>
                  </c:pt>
                  <c:pt idx="30">
                    <c:v>On Leave</c:v>
                  </c:pt>
                  <c:pt idx="31">
                    <c:v>Active</c:v>
                  </c:pt>
                  <c:pt idx="32">
                    <c:v>On Leave</c:v>
                  </c:pt>
                  <c:pt idx="33">
                    <c:v>Active</c:v>
                  </c:pt>
                  <c:pt idx="34">
                    <c:v>On Leave</c:v>
                  </c:pt>
                  <c:pt idx="35">
                    <c:v>Active</c:v>
                  </c:pt>
                  <c:pt idx="36">
                    <c:v>On Leave</c:v>
                  </c:pt>
                  <c:pt idx="37">
                    <c:v>On Leave</c:v>
                  </c:pt>
                  <c:pt idx="38">
                    <c:v>Active</c:v>
                  </c:pt>
                  <c:pt idx="39">
                    <c:v>On Leave</c:v>
                  </c:pt>
                  <c:pt idx="40">
                    <c:v>Active</c:v>
                  </c:pt>
                  <c:pt idx="41">
                    <c:v>On Leave</c:v>
                  </c:pt>
                  <c:pt idx="42">
                    <c:v>Active</c:v>
                  </c:pt>
                  <c:pt idx="43">
                    <c:v>On Leave</c:v>
                  </c:pt>
                  <c:pt idx="44">
                    <c:v>Active</c:v>
                  </c:pt>
                  <c:pt idx="45">
                    <c:v>On Leave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On Leave</c:v>
                  </c:pt>
                  <c:pt idx="49">
                    <c:v>Active</c:v>
                  </c:pt>
                </c:lvl>
                <c:lvl>
                  <c:pt idx="0">
                    <c:v>HND</c:v>
                  </c:pt>
                  <c:pt idx="1">
                    <c:v>OND</c:v>
                  </c:pt>
                  <c:pt idx="2">
                    <c:v>HND</c:v>
                  </c:pt>
                  <c:pt idx="3">
                    <c:v>OND</c:v>
                  </c:pt>
                  <c:pt idx="4">
                    <c:v>HND</c:v>
                  </c:pt>
                  <c:pt idx="5">
                    <c:v>HND</c:v>
                  </c:pt>
                  <c:pt idx="6">
                    <c:v>OND</c:v>
                  </c:pt>
                  <c:pt idx="7">
                    <c:v>HND</c:v>
                  </c:pt>
                  <c:pt idx="8">
                    <c:v>OND</c:v>
                  </c:pt>
                  <c:pt idx="9">
                    <c:v>HND</c:v>
                  </c:pt>
                  <c:pt idx="10">
                    <c:v>OND</c:v>
                  </c:pt>
                  <c:pt idx="11">
                    <c:v>HND</c:v>
                  </c:pt>
                  <c:pt idx="12">
                    <c:v>OND</c:v>
                  </c:pt>
                  <c:pt idx="13">
                    <c:v>HND</c:v>
                  </c:pt>
                  <c:pt idx="14">
                    <c:v>OND</c:v>
                  </c:pt>
                  <c:pt idx="15">
                    <c:v>HND</c:v>
                  </c:pt>
                  <c:pt idx="16">
                    <c:v>OND</c:v>
                  </c:pt>
                  <c:pt idx="17">
                    <c:v>OND</c:v>
                  </c:pt>
                  <c:pt idx="18">
                    <c:v>HND</c:v>
                  </c:pt>
                  <c:pt idx="19">
                    <c:v>OND</c:v>
                  </c:pt>
                  <c:pt idx="20">
                    <c:v>HND</c:v>
                  </c:pt>
                  <c:pt idx="21">
                    <c:v>OND</c:v>
                  </c:pt>
                  <c:pt idx="22">
                    <c:v>HND</c:v>
                  </c:pt>
                  <c:pt idx="23">
                    <c:v>HND</c:v>
                  </c:pt>
                  <c:pt idx="24">
                    <c:v>OND</c:v>
                  </c:pt>
                  <c:pt idx="25">
                    <c:v>BSc</c:v>
                  </c:pt>
                  <c:pt idx="26">
                    <c:v>MSc</c:v>
                  </c:pt>
                  <c:pt idx="27">
                    <c:v>BSc</c:v>
                  </c:pt>
                  <c:pt idx="28">
                    <c:v>MSc</c:v>
                  </c:pt>
                  <c:pt idx="29">
                    <c:v>BSc</c:v>
                  </c:pt>
                  <c:pt idx="30">
                    <c:v>MSc</c:v>
                  </c:pt>
                  <c:pt idx="31">
                    <c:v>BSc</c:v>
                  </c:pt>
                  <c:pt idx="32">
                    <c:v>MSc</c:v>
                  </c:pt>
                  <c:pt idx="33">
                    <c:v>BSc</c:v>
                  </c:pt>
                  <c:pt idx="34">
                    <c:v>MSc</c:v>
                  </c:pt>
                  <c:pt idx="35">
                    <c:v>BSc</c:v>
                  </c:pt>
                  <c:pt idx="36">
                    <c:v>MSc</c:v>
                  </c:pt>
                  <c:pt idx="37">
                    <c:v>MSc</c:v>
                  </c:pt>
                  <c:pt idx="38">
                    <c:v>BSc</c:v>
                  </c:pt>
                  <c:pt idx="39">
                    <c:v>MSc</c:v>
                  </c:pt>
                  <c:pt idx="40">
                    <c:v>BSc</c:v>
                  </c:pt>
                  <c:pt idx="41">
                    <c:v>MSc</c:v>
                  </c:pt>
                  <c:pt idx="42">
                    <c:v>BSc</c:v>
                  </c:pt>
                  <c:pt idx="43">
                    <c:v>MSc</c:v>
                  </c:pt>
                  <c:pt idx="44">
                    <c:v>BSc</c:v>
                  </c:pt>
                  <c:pt idx="45">
                    <c:v>MSc</c:v>
                  </c:pt>
                  <c:pt idx="46">
                    <c:v>BSc</c:v>
                  </c:pt>
                  <c:pt idx="47">
                    <c:v>BSc</c:v>
                  </c:pt>
                  <c:pt idx="48">
                    <c:v>MSc</c:v>
                  </c:pt>
                  <c:pt idx="49">
                    <c:v>BSc</c:v>
                  </c:pt>
                </c:lvl>
                <c:lvl>
                  <c:pt idx="0">
                    <c:v>Sales Rep</c:v>
                  </c:pt>
                  <c:pt idx="1">
                    <c:v>Operations Officer</c:v>
                  </c:pt>
                  <c:pt idx="2">
                    <c:v>HR Officer</c:v>
                  </c:pt>
                  <c:pt idx="3">
                    <c:v>Sales Rep</c:v>
                  </c:pt>
                  <c:pt idx="4">
                    <c:v>Operations Officer</c:v>
                  </c:pt>
                  <c:pt idx="5">
                    <c:v>HR Officer</c:v>
                  </c:pt>
                  <c:pt idx="6">
                    <c:v>HR Officer</c:v>
                  </c:pt>
                  <c:pt idx="7">
                    <c:v>Sales Rep</c:v>
                  </c:pt>
                  <c:pt idx="8">
                    <c:v>Operations Officer</c:v>
                  </c:pt>
                  <c:pt idx="9">
                    <c:v>HR Officer</c:v>
                  </c:pt>
                  <c:pt idx="10">
                    <c:v>Sales Rep</c:v>
                  </c:pt>
                  <c:pt idx="11">
                    <c:v>Operations Officer</c:v>
                  </c:pt>
                  <c:pt idx="12">
                    <c:v>HR Officer</c:v>
                  </c:pt>
                  <c:pt idx="13">
                    <c:v>Sales Rep</c:v>
                  </c:pt>
                  <c:pt idx="14">
                    <c:v>Operations Officer</c:v>
                  </c:pt>
                  <c:pt idx="15">
                    <c:v>HR Officer</c:v>
                  </c:pt>
                  <c:pt idx="16">
                    <c:v>Sales Rep</c:v>
                  </c:pt>
                  <c:pt idx="17">
                    <c:v>Sales Rep</c:v>
                  </c:pt>
                  <c:pt idx="18">
                    <c:v>Operations Officer</c:v>
                  </c:pt>
                  <c:pt idx="19">
                    <c:v>HR Officer</c:v>
                  </c:pt>
                  <c:pt idx="20">
                    <c:v>Sales Rep</c:v>
                  </c:pt>
                  <c:pt idx="21">
                    <c:v>Operations Officer</c:v>
                  </c:pt>
                  <c:pt idx="22">
                    <c:v>HR Officer</c:v>
                  </c:pt>
                  <c:pt idx="23">
                    <c:v>Operations Officer</c:v>
                  </c:pt>
                  <c:pt idx="24">
                    <c:v>HR Officer</c:v>
                  </c:pt>
                  <c:pt idx="25">
                    <c:v>Data Analyst</c:v>
                  </c:pt>
                  <c:pt idx="26">
                    <c:v>Marketing Exec</c:v>
                  </c:pt>
                  <c:pt idx="27">
                    <c:v>Data Analyst</c:v>
                  </c:pt>
                  <c:pt idx="28">
                    <c:v>Accountant</c:v>
                  </c:pt>
                  <c:pt idx="29">
                    <c:v>Marketing Exec</c:v>
                  </c:pt>
                  <c:pt idx="30">
                    <c:v>Data Analyst</c:v>
                  </c:pt>
                  <c:pt idx="31">
                    <c:v>Accountant</c:v>
                  </c:pt>
                  <c:pt idx="32">
                    <c:v>Marketing Exec</c:v>
                  </c:pt>
                  <c:pt idx="33">
                    <c:v>Data Analyst</c:v>
                  </c:pt>
                  <c:pt idx="34">
                    <c:v>Accountant</c:v>
                  </c:pt>
                  <c:pt idx="35">
                    <c:v>Marketing Exec</c:v>
                  </c:pt>
                  <c:pt idx="36">
                    <c:v>Accountant</c:v>
                  </c:pt>
                  <c:pt idx="37">
                    <c:v>Data Analyst</c:v>
                  </c:pt>
                  <c:pt idx="38">
                    <c:v>Accountant</c:v>
                  </c:pt>
                  <c:pt idx="39">
                    <c:v>Marketing Exec</c:v>
                  </c:pt>
                  <c:pt idx="40">
                    <c:v>Data Analyst</c:v>
                  </c:pt>
                  <c:pt idx="41">
                    <c:v>Accountant</c:v>
                  </c:pt>
                  <c:pt idx="42">
                    <c:v>Marketing Exec</c:v>
                  </c:pt>
                  <c:pt idx="43">
                    <c:v>Data Analyst</c:v>
                  </c:pt>
                  <c:pt idx="44">
                    <c:v>Accountant</c:v>
                  </c:pt>
                  <c:pt idx="45">
                    <c:v>Marketing Exec</c:v>
                  </c:pt>
                  <c:pt idx="46">
                    <c:v>Data Analyst</c:v>
                  </c:pt>
                  <c:pt idx="47">
                    <c:v>Marketing Exec</c:v>
                  </c:pt>
                  <c:pt idx="48">
                    <c:v>Data Analyst</c:v>
                  </c:pt>
                  <c:pt idx="49">
                    <c:v>Accountant</c:v>
                  </c:pt>
                </c:lvl>
                <c:lvl>
                  <c:pt idx="0">
                    <c:v>Sales</c:v>
                  </c:pt>
                  <c:pt idx="1">
                    <c:v>Operations</c:v>
                  </c:pt>
                  <c:pt idx="2">
                    <c:v>HR</c:v>
                  </c:pt>
                  <c:pt idx="3">
                    <c:v>Sales</c:v>
                  </c:pt>
                  <c:pt idx="4">
                    <c:v>Operations</c:v>
                  </c:pt>
                  <c:pt idx="5">
                    <c:v>HR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Operations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Operations</c:v>
                  </c:pt>
                  <c:pt idx="12">
                    <c:v>HR</c:v>
                  </c:pt>
                  <c:pt idx="13">
                    <c:v>Sales</c:v>
                  </c:pt>
                  <c:pt idx="14">
                    <c:v>Operations</c:v>
                  </c:pt>
                  <c:pt idx="15">
                    <c:v>HR</c:v>
                  </c:pt>
                  <c:pt idx="16">
                    <c:v>Sales</c:v>
                  </c:pt>
                  <c:pt idx="17">
                    <c:v>Sales</c:v>
                  </c:pt>
                  <c:pt idx="18">
                    <c:v>Operations</c:v>
                  </c:pt>
                  <c:pt idx="19">
                    <c:v>HR</c:v>
                  </c:pt>
                  <c:pt idx="20">
                    <c:v>Sales</c:v>
                  </c:pt>
                  <c:pt idx="21">
                    <c:v>Operations</c:v>
                  </c:pt>
                  <c:pt idx="22">
                    <c:v>HR</c:v>
                  </c:pt>
                  <c:pt idx="23">
                    <c:v>Operations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Marketing</c:v>
                  </c:pt>
                  <c:pt idx="27">
                    <c:v>IT</c:v>
                  </c:pt>
                  <c:pt idx="28">
                    <c:v>Finance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Finance</c:v>
                  </c:pt>
                  <c:pt idx="32">
                    <c:v>Marketing</c:v>
                  </c:pt>
                  <c:pt idx="33">
                    <c:v>IT</c:v>
                  </c:pt>
                  <c:pt idx="34">
                    <c:v>Finance</c:v>
                  </c:pt>
                  <c:pt idx="35">
                    <c:v>Marketing</c:v>
                  </c:pt>
                  <c:pt idx="36">
                    <c:v>Finance</c:v>
                  </c:pt>
                  <c:pt idx="37">
                    <c:v>IT</c:v>
                  </c:pt>
                  <c:pt idx="38">
                    <c:v>Finance</c:v>
                  </c:pt>
                  <c:pt idx="39">
                    <c:v>Marketing</c:v>
                  </c:pt>
                  <c:pt idx="40">
                    <c:v>IT</c:v>
                  </c:pt>
                  <c:pt idx="41">
                    <c:v>Finance</c:v>
                  </c:pt>
                  <c:pt idx="42">
                    <c:v>Marketing</c:v>
                  </c:pt>
                  <c:pt idx="43">
                    <c:v>IT</c:v>
                  </c:pt>
                  <c:pt idx="44">
                    <c:v>Finance</c:v>
                  </c:pt>
                  <c:pt idx="45">
                    <c:v>Marketing</c:v>
                  </c:pt>
                  <c:pt idx="46">
                    <c:v>IT</c:v>
                  </c:pt>
                  <c:pt idx="47">
                    <c:v>Marketing</c:v>
                  </c:pt>
                  <c:pt idx="48">
                    <c:v>IT</c:v>
                  </c:pt>
                  <c:pt idx="49">
                    <c:v>Finance</c:v>
                  </c:pt>
                </c:lvl>
                <c:lvl>
                  <c:pt idx="0">
                    <c:v>Employee 10</c:v>
                  </c:pt>
                  <c:pt idx="1">
                    <c:v>Employee 12</c:v>
                  </c:pt>
                  <c:pt idx="2">
                    <c:v>Employee 14</c:v>
                  </c:pt>
                  <c:pt idx="3">
                    <c:v>Employee 16</c:v>
                  </c:pt>
                  <c:pt idx="4">
                    <c:v>Employee 18</c:v>
                  </c:pt>
                  <c:pt idx="5">
                    <c:v>Employee 2</c:v>
                  </c:pt>
                  <c:pt idx="6">
                    <c:v>Employee 20</c:v>
                  </c:pt>
                  <c:pt idx="7">
                    <c:v>Employee 22</c:v>
                  </c:pt>
                  <c:pt idx="8">
                    <c:v>Employee 24</c:v>
                  </c:pt>
                  <c:pt idx="9">
                    <c:v>Employee 26</c:v>
                  </c:pt>
                  <c:pt idx="10">
                    <c:v>Employee 28</c:v>
                  </c:pt>
                  <c:pt idx="11">
                    <c:v>Employee 30</c:v>
                  </c:pt>
                  <c:pt idx="12">
                    <c:v>Employee 32</c:v>
                  </c:pt>
                  <c:pt idx="13">
                    <c:v>Employee 34</c:v>
                  </c:pt>
                  <c:pt idx="14">
                    <c:v>Employee 36</c:v>
                  </c:pt>
                  <c:pt idx="15">
                    <c:v>Employee 38</c:v>
                  </c:pt>
                  <c:pt idx="16">
                    <c:v>Employee 4</c:v>
                  </c:pt>
                  <c:pt idx="17">
                    <c:v>Employee 40</c:v>
                  </c:pt>
                  <c:pt idx="18">
                    <c:v>Employee 42</c:v>
                  </c:pt>
                  <c:pt idx="19">
                    <c:v>Employee 44</c:v>
                  </c:pt>
                  <c:pt idx="20">
                    <c:v>Employee 46</c:v>
                  </c:pt>
                  <c:pt idx="21">
                    <c:v>Employee 48</c:v>
                  </c:pt>
                  <c:pt idx="22">
                    <c:v>Employee 50</c:v>
                  </c:pt>
                  <c:pt idx="23">
                    <c:v>Employee 6</c:v>
                  </c:pt>
                  <c:pt idx="24">
                    <c:v>Employee 8</c:v>
                  </c:pt>
                  <c:pt idx="25">
                    <c:v>Employee 1</c:v>
                  </c:pt>
                  <c:pt idx="26">
                    <c:v>Employee 11</c:v>
                  </c:pt>
                  <c:pt idx="27">
                    <c:v>Employee 13</c:v>
                  </c:pt>
                  <c:pt idx="28">
                    <c:v>Employee 15</c:v>
                  </c:pt>
                  <c:pt idx="29">
                    <c:v>Employee 17</c:v>
                  </c:pt>
                  <c:pt idx="30">
                    <c:v>Employee 19</c:v>
                  </c:pt>
                  <c:pt idx="31">
                    <c:v>Employee 21</c:v>
                  </c:pt>
                  <c:pt idx="32">
                    <c:v>Employee 23</c:v>
                  </c:pt>
                  <c:pt idx="33">
                    <c:v>Employee 25</c:v>
                  </c:pt>
                  <c:pt idx="34">
                    <c:v>Employee 27</c:v>
                  </c:pt>
                  <c:pt idx="35">
                    <c:v>Employee 29</c:v>
                  </c:pt>
                  <c:pt idx="36">
                    <c:v>Employee 3</c:v>
                  </c:pt>
                  <c:pt idx="37">
                    <c:v>Employee 31</c:v>
                  </c:pt>
                  <c:pt idx="38">
                    <c:v>Employee 33</c:v>
                  </c:pt>
                  <c:pt idx="39">
                    <c:v>Employee 35</c:v>
                  </c:pt>
                  <c:pt idx="40">
                    <c:v>Employee 37</c:v>
                  </c:pt>
                  <c:pt idx="41">
                    <c:v>Employee 39</c:v>
                  </c:pt>
                  <c:pt idx="42">
                    <c:v>Employee 41</c:v>
                  </c:pt>
                  <c:pt idx="43">
                    <c:v>Employee 43</c:v>
                  </c:pt>
                  <c:pt idx="44">
                    <c:v>Employee 45</c:v>
                  </c:pt>
                  <c:pt idx="45">
                    <c:v>Employee 47</c:v>
                  </c:pt>
                  <c:pt idx="46">
                    <c:v>Employee 49</c:v>
                  </c:pt>
                  <c:pt idx="47">
                    <c:v>Employee 5</c:v>
                  </c:pt>
                  <c:pt idx="48">
                    <c:v>Employee 7</c:v>
                  </c:pt>
                  <c:pt idx="49">
                    <c:v>Employee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Sheet2!$D$4:$D$356</c:f>
              <c:numCache>
                <c:formatCode>General</c:formatCode>
                <c:ptCount val="50"/>
                <c:pt idx="0">
                  <c:v>630000</c:v>
                </c:pt>
                <c:pt idx="1">
                  <c:v>230000</c:v>
                </c:pt>
                <c:pt idx="2">
                  <c:v>330000</c:v>
                </c:pt>
                <c:pt idx="3">
                  <c:v>430000</c:v>
                </c:pt>
                <c:pt idx="4">
                  <c:v>530000</c:v>
                </c:pt>
                <c:pt idx="5">
                  <c:v>230000</c:v>
                </c:pt>
                <c:pt idx="6">
                  <c:v>630000</c:v>
                </c:pt>
                <c:pt idx="7">
                  <c:v>230000</c:v>
                </c:pt>
                <c:pt idx="8">
                  <c:v>330000</c:v>
                </c:pt>
                <c:pt idx="9">
                  <c:v>430000</c:v>
                </c:pt>
                <c:pt idx="10">
                  <c:v>530000</c:v>
                </c:pt>
                <c:pt idx="11">
                  <c:v>630000</c:v>
                </c:pt>
                <c:pt idx="12">
                  <c:v>230000</c:v>
                </c:pt>
                <c:pt idx="13">
                  <c:v>330000</c:v>
                </c:pt>
                <c:pt idx="14">
                  <c:v>430000</c:v>
                </c:pt>
                <c:pt idx="15">
                  <c:v>530000</c:v>
                </c:pt>
                <c:pt idx="16">
                  <c:v>330000</c:v>
                </c:pt>
                <c:pt idx="17">
                  <c:v>630000</c:v>
                </c:pt>
                <c:pt idx="18">
                  <c:v>230000</c:v>
                </c:pt>
                <c:pt idx="19">
                  <c:v>330000</c:v>
                </c:pt>
                <c:pt idx="20">
                  <c:v>430000</c:v>
                </c:pt>
                <c:pt idx="21">
                  <c:v>530000</c:v>
                </c:pt>
                <c:pt idx="22">
                  <c:v>630000</c:v>
                </c:pt>
                <c:pt idx="23">
                  <c:v>430000</c:v>
                </c:pt>
                <c:pt idx="24">
                  <c:v>530000</c:v>
                </c:pt>
                <c:pt idx="25">
                  <c:v>180000</c:v>
                </c:pt>
                <c:pt idx="26">
                  <c:v>180000</c:v>
                </c:pt>
                <c:pt idx="27">
                  <c:v>280000</c:v>
                </c:pt>
                <c:pt idx="28">
                  <c:v>380000</c:v>
                </c:pt>
                <c:pt idx="29">
                  <c:v>480000</c:v>
                </c:pt>
                <c:pt idx="30">
                  <c:v>580000</c:v>
                </c:pt>
                <c:pt idx="31">
                  <c:v>180000</c:v>
                </c:pt>
                <c:pt idx="32">
                  <c:v>280000</c:v>
                </c:pt>
                <c:pt idx="33">
                  <c:v>380000</c:v>
                </c:pt>
                <c:pt idx="34">
                  <c:v>480000</c:v>
                </c:pt>
                <c:pt idx="35">
                  <c:v>580000</c:v>
                </c:pt>
                <c:pt idx="36">
                  <c:v>280000</c:v>
                </c:pt>
                <c:pt idx="37">
                  <c:v>180000</c:v>
                </c:pt>
                <c:pt idx="38">
                  <c:v>280000</c:v>
                </c:pt>
                <c:pt idx="39">
                  <c:v>380000</c:v>
                </c:pt>
                <c:pt idx="40">
                  <c:v>480000</c:v>
                </c:pt>
                <c:pt idx="41">
                  <c:v>580000</c:v>
                </c:pt>
                <c:pt idx="42">
                  <c:v>180000</c:v>
                </c:pt>
                <c:pt idx="43">
                  <c:v>280000</c:v>
                </c:pt>
                <c:pt idx="44">
                  <c:v>380000</c:v>
                </c:pt>
                <c:pt idx="45">
                  <c:v>480000</c:v>
                </c:pt>
                <c:pt idx="46">
                  <c:v>580000</c:v>
                </c:pt>
                <c:pt idx="47">
                  <c:v>380000</c:v>
                </c:pt>
                <c:pt idx="48">
                  <c:v>480000</c:v>
                </c:pt>
                <c:pt idx="49">
                  <c:v>580000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02-4E47-99CC-C90B3A67258B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Experience_Years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Sheet2!$A$4:$A$356</c:f>
              <c:multiLvlStrCache>
                <c:ptCount val="50"/>
                <c:lvl>
                  <c:pt idx="0">
                    <c:v>10/10/2024</c:v>
                  </c:pt>
                  <c:pt idx="1">
                    <c:v>12/12/2024</c:v>
                  </c:pt>
                  <c:pt idx="2">
                    <c:v>14/02/2024</c:v>
                  </c:pt>
                  <c:pt idx="3">
                    <c:v>16/04/2024</c:v>
                  </c:pt>
                  <c:pt idx="4">
                    <c:v>18/06/2024</c:v>
                  </c:pt>
                  <c:pt idx="5">
                    <c:v>02/02/2024</c:v>
                  </c:pt>
                  <c:pt idx="6">
                    <c:v>20/08/2024</c:v>
                  </c:pt>
                  <c:pt idx="7">
                    <c:v>22/10/2024</c:v>
                  </c:pt>
                  <c:pt idx="8">
                    <c:v>24/12/2024</c:v>
                  </c:pt>
                  <c:pt idx="9">
                    <c:v>26/02/2024</c:v>
                  </c:pt>
                  <c:pt idx="10">
                    <c:v>28/04/2024</c:v>
                  </c:pt>
                  <c:pt idx="11">
                    <c:v>02/06/2024</c:v>
                  </c:pt>
                  <c:pt idx="12">
                    <c:v>04/08/2024</c:v>
                  </c:pt>
                  <c:pt idx="13">
                    <c:v>06/10/2024</c:v>
                  </c:pt>
                  <c:pt idx="14">
                    <c:v>08/12/2024</c:v>
                  </c:pt>
                  <c:pt idx="15">
                    <c:v>10/02/2024</c:v>
                  </c:pt>
                  <c:pt idx="16">
                    <c:v>04/04/2024</c:v>
                  </c:pt>
                  <c:pt idx="17">
                    <c:v>12/04/2024</c:v>
                  </c:pt>
                  <c:pt idx="18">
                    <c:v>14/06/2024</c:v>
                  </c:pt>
                  <c:pt idx="19">
                    <c:v>16/08/2024</c:v>
                  </c:pt>
                  <c:pt idx="20">
                    <c:v>18/10/2024</c:v>
                  </c:pt>
                  <c:pt idx="21">
                    <c:v>20/12/2024</c:v>
                  </c:pt>
                  <c:pt idx="22">
                    <c:v>22/02/2024</c:v>
                  </c:pt>
                  <c:pt idx="23">
                    <c:v>06/06/2024</c:v>
                  </c:pt>
                  <c:pt idx="24">
                    <c:v>08/08/2024</c:v>
                  </c:pt>
                  <c:pt idx="25">
                    <c:v>01/01/2024</c:v>
                  </c:pt>
                  <c:pt idx="26">
                    <c:v>11/11/2024</c:v>
                  </c:pt>
                  <c:pt idx="27">
                    <c:v>13/01/2024</c:v>
                  </c:pt>
                  <c:pt idx="28">
                    <c:v>15/03/2024</c:v>
                  </c:pt>
                  <c:pt idx="29">
                    <c:v>17/05/2024</c:v>
                  </c:pt>
                  <c:pt idx="30">
                    <c:v>19/07/2024</c:v>
                  </c:pt>
                  <c:pt idx="31">
                    <c:v>21/09/2024</c:v>
                  </c:pt>
                  <c:pt idx="32">
                    <c:v>23/11/2024</c:v>
                  </c:pt>
                  <c:pt idx="33">
                    <c:v>25/01/2024</c:v>
                  </c:pt>
                  <c:pt idx="34">
                    <c:v>27/03/2024</c:v>
                  </c:pt>
                  <c:pt idx="35">
                    <c:v>01/05/2024</c:v>
                  </c:pt>
                  <c:pt idx="36">
                    <c:v>03/03/2024</c:v>
                  </c:pt>
                  <c:pt idx="37">
                    <c:v>03/07/2024</c:v>
                  </c:pt>
                  <c:pt idx="38">
                    <c:v>05/09/2024</c:v>
                  </c:pt>
                  <c:pt idx="39">
                    <c:v>07/11/2024</c:v>
                  </c:pt>
                  <c:pt idx="40">
                    <c:v>09/01/2024</c:v>
                  </c:pt>
                  <c:pt idx="41">
                    <c:v>11/03/2024</c:v>
                  </c:pt>
                  <c:pt idx="42">
                    <c:v>13/05/2024</c:v>
                  </c:pt>
                  <c:pt idx="43">
                    <c:v>15/07/2024</c:v>
                  </c:pt>
                  <c:pt idx="44">
                    <c:v>17/09/2024</c:v>
                  </c:pt>
                  <c:pt idx="45">
                    <c:v>19/11/2024</c:v>
                  </c:pt>
                  <c:pt idx="46">
                    <c:v>21/01/2024</c:v>
                  </c:pt>
                  <c:pt idx="47">
                    <c:v>05/05/2024</c:v>
                  </c:pt>
                  <c:pt idx="48">
                    <c:v>07/07/2024</c:v>
                  </c:pt>
                  <c:pt idx="49">
                    <c:v>09/09/2024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Abuja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Abuja</c:v>
                  </c:pt>
                  <c:pt idx="6">
                    <c:v>Abuja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Abuja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Abuja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Abuja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Abuja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Abuja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Owerri</c:v>
                  </c:pt>
                  <c:pt idx="27">
                    <c:v>Lagos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Lagos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Lagos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Lagos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Lagos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Lagos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Lagos</c:v>
                  </c:pt>
                  <c:pt idx="47">
                    <c:v>Owerri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Active</c:v>
                  </c:pt>
                  <c:pt idx="1">
                    <c:v>Resigned</c:v>
                  </c:pt>
                  <c:pt idx="2">
                    <c:v>Active</c:v>
                  </c:pt>
                  <c:pt idx="3">
                    <c:v>Resigned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Resigned</c:v>
                  </c:pt>
                  <c:pt idx="7">
                    <c:v>Active</c:v>
                  </c:pt>
                  <c:pt idx="8">
                    <c:v>Resigned</c:v>
                  </c:pt>
                  <c:pt idx="9">
                    <c:v>Active</c:v>
                  </c:pt>
                  <c:pt idx="10">
                    <c:v>Resigned</c:v>
                  </c:pt>
                  <c:pt idx="11">
                    <c:v>Active</c:v>
                  </c:pt>
                  <c:pt idx="12">
                    <c:v>Resigned</c:v>
                  </c:pt>
                  <c:pt idx="13">
                    <c:v>Active</c:v>
                  </c:pt>
                  <c:pt idx="14">
                    <c:v>Resigned</c:v>
                  </c:pt>
                  <c:pt idx="15">
                    <c:v>Active</c:v>
                  </c:pt>
                  <c:pt idx="16">
                    <c:v>Resigned</c:v>
                  </c:pt>
                  <c:pt idx="17">
                    <c:v>Resigned</c:v>
                  </c:pt>
                  <c:pt idx="18">
                    <c:v>Active</c:v>
                  </c:pt>
                  <c:pt idx="19">
                    <c:v>Resigned</c:v>
                  </c:pt>
                  <c:pt idx="20">
                    <c:v>Active</c:v>
                  </c:pt>
                  <c:pt idx="21">
                    <c:v>Resigned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Resigned</c:v>
                  </c:pt>
                  <c:pt idx="25">
                    <c:v>Active</c:v>
                  </c:pt>
                  <c:pt idx="26">
                    <c:v>On Leave</c:v>
                  </c:pt>
                  <c:pt idx="27">
                    <c:v>Active</c:v>
                  </c:pt>
                  <c:pt idx="28">
                    <c:v>On Leave</c:v>
                  </c:pt>
                  <c:pt idx="29">
                    <c:v>Active</c:v>
                  </c:pt>
                  <c:pt idx="30">
                    <c:v>On Leave</c:v>
                  </c:pt>
                  <c:pt idx="31">
                    <c:v>Active</c:v>
                  </c:pt>
                  <c:pt idx="32">
                    <c:v>On Leave</c:v>
                  </c:pt>
                  <c:pt idx="33">
                    <c:v>Active</c:v>
                  </c:pt>
                  <c:pt idx="34">
                    <c:v>On Leave</c:v>
                  </c:pt>
                  <c:pt idx="35">
                    <c:v>Active</c:v>
                  </c:pt>
                  <c:pt idx="36">
                    <c:v>On Leave</c:v>
                  </c:pt>
                  <c:pt idx="37">
                    <c:v>On Leave</c:v>
                  </c:pt>
                  <c:pt idx="38">
                    <c:v>Active</c:v>
                  </c:pt>
                  <c:pt idx="39">
                    <c:v>On Leave</c:v>
                  </c:pt>
                  <c:pt idx="40">
                    <c:v>Active</c:v>
                  </c:pt>
                  <c:pt idx="41">
                    <c:v>On Leave</c:v>
                  </c:pt>
                  <c:pt idx="42">
                    <c:v>Active</c:v>
                  </c:pt>
                  <c:pt idx="43">
                    <c:v>On Leave</c:v>
                  </c:pt>
                  <c:pt idx="44">
                    <c:v>Active</c:v>
                  </c:pt>
                  <c:pt idx="45">
                    <c:v>On Leave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On Leave</c:v>
                  </c:pt>
                  <c:pt idx="49">
                    <c:v>Active</c:v>
                  </c:pt>
                </c:lvl>
                <c:lvl>
                  <c:pt idx="0">
                    <c:v>HND</c:v>
                  </c:pt>
                  <c:pt idx="1">
                    <c:v>OND</c:v>
                  </c:pt>
                  <c:pt idx="2">
                    <c:v>HND</c:v>
                  </c:pt>
                  <c:pt idx="3">
                    <c:v>OND</c:v>
                  </c:pt>
                  <c:pt idx="4">
                    <c:v>HND</c:v>
                  </c:pt>
                  <c:pt idx="5">
                    <c:v>HND</c:v>
                  </c:pt>
                  <c:pt idx="6">
                    <c:v>OND</c:v>
                  </c:pt>
                  <c:pt idx="7">
                    <c:v>HND</c:v>
                  </c:pt>
                  <c:pt idx="8">
                    <c:v>OND</c:v>
                  </c:pt>
                  <c:pt idx="9">
                    <c:v>HND</c:v>
                  </c:pt>
                  <c:pt idx="10">
                    <c:v>OND</c:v>
                  </c:pt>
                  <c:pt idx="11">
                    <c:v>HND</c:v>
                  </c:pt>
                  <c:pt idx="12">
                    <c:v>OND</c:v>
                  </c:pt>
                  <c:pt idx="13">
                    <c:v>HND</c:v>
                  </c:pt>
                  <c:pt idx="14">
                    <c:v>OND</c:v>
                  </c:pt>
                  <c:pt idx="15">
                    <c:v>HND</c:v>
                  </c:pt>
                  <c:pt idx="16">
                    <c:v>OND</c:v>
                  </c:pt>
                  <c:pt idx="17">
                    <c:v>OND</c:v>
                  </c:pt>
                  <c:pt idx="18">
                    <c:v>HND</c:v>
                  </c:pt>
                  <c:pt idx="19">
                    <c:v>OND</c:v>
                  </c:pt>
                  <c:pt idx="20">
                    <c:v>HND</c:v>
                  </c:pt>
                  <c:pt idx="21">
                    <c:v>OND</c:v>
                  </c:pt>
                  <c:pt idx="22">
                    <c:v>HND</c:v>
                  </c:pt>
                  <c:pt idx="23">
                    <c:v>HND</c:v>
                  </c:pt>
                  <c:pt idx="24">
                    <c:v>OND</c:v>
                  </c:pt>
                  <c:pt idx="25">
                    <c:v>BSc</c:v>
                  </c:pt>
                  <c:pt idx="26">
                    <c:v>MSc</c:v>
                  </c:pt>
                  <c:pt idx="27">
                    <c:v>BSc</c:v>
                  </c:pt>
                  <c:pt idx="28">
                    <c:v>MSc</c:v>
                  </c:pt>
                  <c:pt idx="29">
                    <c:v>BSc</c:v>
                  </c:pt>
                  <c:pt idx="30">
                    <c:v>MSc</c:v>
                  </c:pt>
                  <c:pt idx="31">
                    <c:v>BSc</c:v>
                  </c:pt>
                  <c:pt idx="32">
                    <c:v>MSc</c:v>
                  </c:pt>
                  <c:pt idx="33">
                    <c:v>BSc</c:v>
                  </c:pt>
                  <c:pt idx="34">
                    <c:v>MSc</c:v>
                  </c:pt>
                  <c:pt idx="35">
                    <c:v>BSc</c:v>
                  </c:pt>
                  <c:pt idx="36">
                    <c:v>MSc</c:v>
                  </c:pt>
                  <c:pt idx="37">
                    <c:v>MSc</c:v>
                  </c:pt>
                  <c:pt idx="38">
                    <c:v>BSc</c:v>
                  </c:pt>
                  <c:pt idx="39">
                    <c:v>MSc</c:v>
                  </c:pt>
                  <c:pt idx="40">
                    <c:v>BSc</c:v>
                  </c:pt>
                  <c:pt idx="41">
                    <c:v>MSc</c:v>
                  </c:pt>
                  <c:pt idx="42">
                    <c:v>BSc</c:v>
                  </c:pt>
                  <c:pt idx="43">
                    <c:v>MSc</c:v>
                  </c:pt>
                  <c:pt idx="44">
                    <c:v>BSc</c:v>
                  </c:pt>
                  <c:pt idx="45">
                    <c:v>MSc</c:v>
                  </c:pt>
                  <c:pt idx="46">
                    <c:v>BSc</c:v>
                  </c:pt>
                  <c:pt idx="47">
                    <c:v>BSc</c:v>
                  </c:pt>
                  <c:pt idx="48">
                    <c:v>MSc</c:v>
                  </c:pt>
                  <c:pt idx="49">
                    <c:v>BSc</c:v>
                  </c:pt>
                </c:lvl>
                <c:lvl>
                  <c:pt idx="0">
                    <c:v>Sales Rep</c:v>
                  </c:pt>
                  <c:pt idx="1">
                    <c:v>Operations Officer</c:v>
                  </c:pt>
                  <c:pt idx="2">
                    <c:v>HR Officer</c:v>
                  </c:pt>
                  <c:pt idx="3">
                    <c:v>Sales Rep</c:v>
                  </c:pt>
                  <c:pt idx="4">
                    <c:v>Operations Officer</c:v>
                  </c:pt>
                  <c:pt idx="5">
                    <c:v>HR Officer</c:v>
                  </c:pt>
                  <c:pt idx="6">
                    <c:v>HR Officer</c:v>
                  </c:pt>
                  <c:pt idx="7">
                    <c:v>Sales Rep</c:v>
                  </c:pt>
                  <c:pt idx="8">
                    <c:v>Operations Officer</c:v>
                  </c:pt>
                  <c:pt idx="9">
                    <c:v>HR Officer</c:v>
                  </c:pt>
                  <c:pt idx="10">
                    <c:v>Sales Rep</c:v>
                  </c:pt>
                  <c:pt idx="11">
                    <c:v>Operations Officer</c:v>
                  </c:pt>
                  <c:pt idx="12">
                    <c:v>HR Officer</c:v>
                  </c:pt>
                  <c:pt idx="13">
                    <c:v>Sales Rep</c:v>
                  </c:pt>
                  <c:pt idx="14">
                    <c:v>Operations Officer</c:v>
                  </c:pt>
                  <c:pt idx="15">
                    <c:v>HR Officer</c:v>
                  </c:pt>
                  <c:pt idx="16">
                    <c:v>Sales Rep</c:v>
                  </c:pt>
                  <c:pt idx="17">
                    <c:v>Sales Rep</c:v>
                  </c:pt>
                  <c:pt idx="18">
                    <c:v>Operations Officer</c:v>
                  </c:pt>
                  <c:pt idx="19">
                    <c:v>HR Officer</c:v>
                  </c:pt>
                  <c:pt idx="20">
                    <c:v>Sales Rep</c:v>
                  </c:pt>
                  <c:pt idx="21">
                    <c:v>Operations Officer</c:v>
                  </c:pt>
                  <c:pt idx="22">
                    <c:v>HR Officer</c:v>
                  </c:pt>
                  <c:pt idx="23">
                    <c:v>Operations Officer</c:v>
                  </c:pt>
                  <c:pt idx="24">
                    <c:v>HR Officer</c:v>
                  </c:pt>
                  <c:pt idx="25">
                    <c:v>Data Analyst</c:v>
                  </c:pt>
                  <c:pt idx="26">
                    <c:v>Marketing Exec</c:v>
                  </c:pt>
                  <c:pt idx="27">
                    <c:v>Data Analyst</c:v>
                  </c:pt>
                  <c:pt idx="28">
                    <c:v>Accountant</c:v>
                  </c:pt>
                  <c:pt idx="29">
                    <c:v>Marketing Exec</c:v>
                  </c:pt>
                  <c:pt idx="30">
                    <c:v>Data Analyst</c:v>
                  </c:pt>
                  <c:pt idx="31">
                    <c:v>Accountant</c:v>
                  </c:pt>
                  <c:pt idx="32">
                    <c:v>Marketing Exec</c:v>
                  </c:pt>
                  <c:pt idx="33">
                    <c:v>Data Analyst</c:v>
                  </c:pt>
                  <c:pt idx="34">
                    <c:v>Accountant</c:v>
                  </c:pt>
                  <c:pt idx="35">
                    <c:v>Marketing Exec</c:v>
                  </c:pt>
                  <c:pt idx="36">
                    <c:v>Accountant</c:v>
                  </c:pt>
                  <c:pt idx="37">
                    <c:v>Data Analyst</c:v>
                  </c:pt>
                  <c:pt idx="38">
                    <c:v>Accountant</c:v>
                  </c:pt>
                  <c:pt idx="39">
                    <c:v>Marketing Exec</c:v>
                  </c:pt>
                  <c:pt idx="40">
                    <c:v>Data Analyst</c:v>
                  </c:pt>
                  <c:pt idx="41">
                    <c:v>Accountant</c:v>
                  </c:pt>
                  <c:pt idx="42">
                    <c:v>Marketing Exec</c:v>
                  </c:pt>
                  <c:pt idx="43">
                    <c:v>Data Analyst</c:v>
                  </c:pt>
                  <c:pt idx="44">
                    <c:v>Accountant</c:v>
                  </c:pt>
                  <c:pt idx="45">
                    <c:v>Marketing Exec</c:v>
                  </c:pt>
                  <c:pt idx="46">
                    <c:v>Data Analyst</c:v>
                  </c:pt>
                  <c:pt idx="47">
                    <c:v>Marketing Exec</c:v>
                  </c:pt>
                  <c:pt idx="48">
                    <c:v>Data Analyst</c:v>
                  </c:pt>
                  <c:pt idx="49">
                    <c:v>Accountant</c:v>
                  </c:pt>
                </c:lvl>
                <c:lvl>
                  <c:pt idx="0">
                    <c:v>Sales</c:v>
                  </c:pt>
                  <c:pt idx="1">
                    <c:v>Operations</c:v>
                  </c:pt>
                  <c:pt idx="2">
                    <c:v>HR</c:v>
                  </c:pt>
                  <c:pt idx="3">
                    <c:v>Sales</c:v>
                  </c:pt>
                  <c:pt idx="4">
                    <c:v>Operations</c:v>
                  </c:pt>
                  <c:pt idx="5">
                    <c:v>HR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Operations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Operations</c:v>
                  </c:pt>
                  <c:pt idx="12">
                    <c:v>HR</c:v>
                  </c:pt>
                  <c:pt idx="13">
                    <c:v>Sales</c:v>
                  </c:pt>
                  <c:pt idx="14">
                    <c:v>Operations</c:v>
                  </c:pt>
                  <c:pt idx="15">
                    <c:v>HR</c:v>
                  </c:pt>
                  <c:pt idx="16">
                    <c:v>Sales</c:v>
                  </c:pt>
                  <c:pt idx="17">
                    <c:v>Sales</c:v>
                  </c:pt>
                  <c:pt idx="18">
                    <c:v>Operations</c:v>
                  </c:pt>
                  <c:pt idx="19">
                    <c:v>HR</c:v>
                  </c:pt>
                  <c:pt idx="20">
                    <c:v>Sales</c:v>
                  </c:pt>
                  <c:pt idx="21">
                    <c:v>Operations</c:v>
                  </c:pt>
                  <c:pt idx="22">
                    <c:v>HR</c:v>
                  </c:pt>
                  <c:pt idx="23">
                    <c:v>Operations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Marketing</c:v>
                  </c:pt>
                  <c:pt idx="27">
                    <c:v>IT</c:v>
                  </c:pt>
                  <c:pt idx="28">
                    <c:v>Finance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Finance</c:v>
                  </c:pt>
                  <c:pt idx="32">
                    <c:v>Marketing</c:v>
                  </c:pt>
                  <c:pt idx="33">
                    <c:v>IT</c:v>
                  </c:pt>
                  <c:pt idx="34">
                    <c:v>Finance</c:v>
                  </c:pt>
                  <c:pt idx="35">
                    <c:v>Marketing</c:v>
                  </c:pt>
                  <c:pt idx="36">
                    <c:v>Finance</c:v>
                  </c:pt>
                  <c:pt idx="37">
                    <c:v>IT</c:v>
                  </c:pt>
                  <c:pt idx="38">
                    <c:v>Finance</c:v>
                  </c:pt>
                  <c:pt idx="39">
                    <c:v>Marketing</c:v>
                  </c:pt>
                  <c:pt idx="40">
                    <c:v>IT</c:v>
                  </c:pt>
                  <c:pt idx="41">
                    <c:v>Finance</c:v>
                  </c:pt>
                  <c:pt idx="42">
                    <c:v>Marketing</c:v>
                  </c:pt>
                  <c:pt idx="43">
                    <c:v>IT</c:v>
                  </c:pt>
                  <c:pt idx="44">
                    <c:v>Finance</c:v>
                  </c:pt>
                  <c:pt idx="45">
                    <c:v>Marketing</c:v>
                  </c:pt>
                  <c:pt idx="46">
                    <c:v>IT</c:v>
                  </c:pt>
                  <c:pt idx="47">
                    <c:v>Marketing</c:v>
                  </c:pt>
                  <c:pt idx="48">
                    <c:v>IT</c:v>
                  </c:pt>
                  <c:pt idx="49">
                    <c:v>Finance</c:v>
                  </c:pt>
                </c:lvl>
                <c:lvl>
                  <c:pt idx="0">
                    <c:v>Employee 10</c:v>
                  </c:pt>
                  <c:pt idx="1">
                    <c:v>Employee 12</c:v>
                  </c:pt>
                  <c:pt idx="2">
                    <c:v>Employee 14</c:v>
                  </c:pt>
                  <c:pt idx="3">
                    <c:v>Employee 16</c:v>
                  </c:pt>
                  <c:pt idx="4">
                    <c:v>Employee 18</c:v>
                  </c:pt>
                  <c:pt idx="5">
                    <c:v>Employee 2</c:v>
                  </c:pt>
                  <c:pt idx="6">
                    <c:v>Employee 20</c:v>
                  </c:pt>
                  <c:pt idx="7">
                    <c:v>Employee 22</c:v>
                  </c:pt>
                  <c:pt idx="8">
                    <c:v>Employee 24</c:v>
                  </c:pt>
                  <c:pt idx="9">
                    <c:v>Employee 26</c:v>
                  </c:pt>
                  <c:pt idx="10">
                    <c:v>Employee 28</c:v>
                  </c:pt>
                  <c:pt idx="11">
                    <c:v>Employee 30</c:v>
                  </c:pt>
                  <c:pt idx="12">
                    <c:v>Employee 32</c:v>
                  </c:pt>
                  <c:pt idx="13">
                    <c:v>Employee 34</c:v>
                  </c:pt>
                  <c:pt idx="14">
                    <c:v>Employee 36</c:v>
                  </c:pt>
                  <c:pt idx="15">
                    <c:v>Employee 38</c:v>
                  </c:pt>
                  <c:pt idx="16">
                    <c:v>Employee 4</c:v>
                  </c:pt>
                  <c:pt idx="17">
                    <c:v>Employee 40</c:v>
                  </c:pt>
                  <c:pt idx="18">
                    <c:v>Employee 42</c:v>
                  </c:pt>
                  <c:pt idx="19">
                    <c:v>Employee 44</c:v>
                  </c:pt>
                  <c:pt idx="20">
                    <c:v>Employee 46</c:v>
                  </c:pt>
                  <c:pt idx="21">
                    <c:v>Employee 48</c:v>
                  </c:pt>
                  <c:pt idx="22">
                    <c:v>Employee 50</c:v>
                  </c:pt>
                  <c:pt idx="23">
                    <c:v>Employee 6</c:v>
                  </c:pt>
                  <c:pt idx="24">
                    <c:v>Employee 8</c:v>
                  </c:pt>
                  <c:pt idx="25">
                    <c:v>Employee 1</c:v>
                  </c:pt>
                  <c:pt idx="26">
                    <c:v>Employee 11</c:v>
                  </c:pt>
                  <c:pt idx="27">
                    <c:v>Employee 13</c:v>
                  </c:pt>
                  <c:pt idx="28">
                    <c:v>Employee 15</c:v>
                  </c:pt>
                  <c:pt idx="29">
                    <c:v>Employee 17</c:v>
                  </c:pt>
                  <c:pt idx="30">
                    <c:v>Employee 19</c:v>
                  </c:pt>
                  <c:pt idx="31">
                    <c:v>Employee 21</c:v>
                  </c:pt>
                  <c:pt idx="32">
                    <c:v>Employee 23</c:v>
                  </c:pt>
                  <c:pt idx="33">
                    <c:v>Employee 25</c:v>
                  </c:pt>
                  <c:pt idx="34">
                    <c:v>Employee 27</c:v>
                  </c:pt>
                  <c:pt idx="35">
                    <c:v>Employee 29</c:v>
                  </c:pt>
                  <c:pt idx="36">
                    <c:v>Employee 3</c:v>
                  </c:pt>
                  <c:pt idx="37">
                    <c:v>Employee 31</c:v>
                  </c:pt>
                  <c:pt idx="38">
                    <c:v>Employee 33</c:v>
                  </c:pt>
                  <c:pt idx="39">
                    <c:v>Employee 35</c:v>
                  </c:pt>
                  <c:pt idx="40">
                    <c:v>Employee 37</c:v>
                  </c:pt>
                  <c:pt idx="41">
                    <c:v>Employee 39</c:v>
                  </c:pt>
                  <c:pt idx="42">
                    <c:v>Employee 41</c:v>
                  </c:pt>
                  <c:pt idx="43">
                    <c:v>Employee 43</c:v>
                  </c:pt>
                  <c:pt idx="44">
                    <c:v>Employee 45</c:v>
                  </c:pt>
                  <c:pt idx="45">
                    <c:v>Employee 47</c:v>
                  </c:pt>
                  <c:pt idx="46">
                    <c:v>Employee 49</c:v>
                  </c:pt>
                  <c:pt idx="47">
                    <c:v>Employee 5</c:v>
                  </c:pt>
                  <c:pt idx="48">
                    <c:v>Employee 7</c:v>
                  </c:pt>
                  <c:pt idx="49">
                    <c:v>Employee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Sheet2!$E$4:$E$356</c:f>
              <c:numCache>
                <c:formatCode>General</c:formatCode>
                <c:ptCount val="50"/>
                <c:pt idx="0">
                  <c:v>10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2</c:v>
                </c:pt>
                <c:pt idx="6">
                  <c:v>10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8</c:v>
                </c:pt>
                <c:pt idx="16">
                  <c:v>4</c:v>
                </c:pt>
                <c:pt idx="17">
                  <c:v>10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8</c:v>
                </c:pt>
                <c:pt idx="22">
                  <c:v>10</c:v>
                </c:pt>
                <c:pt idx="23">
                  <c:v>6</c:v>
                </c:pt>
                <c:pt idx="24">
                  <c:v>8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5</c:v>
                </c:pt>
                <c:pt idx="29">
                  <c:v>7</c:v>
                </c:pt>
                <c:pt idx="30">
                  <c:v>9</c:v>
                </c:pt>
                <c:pt idx="31">
                  <c:v>1</c:v>
                </c:pt>
                <c:pt idx="32">
                  <c:v>3</c:v>
                </c:pt>
                <c:pt idx="33">
                  <c:v>5</c:v>
                </c:pt>
                <c:pt idx="34">
                  <c:v>7</c:v>
                </c:pt>
                <c:pt idx="35">
                  <c:v>9</c:v>
                </c:pt>
                <c:pt idx="36">
                  <c:v>3</c:v>
                </c:pt>
                <c:pt idx="37">
                  <c:v>1</c:v>
                </c:pt>
                <c:pt idx="38">
                  <c:v>3</c:v>
                </c:pt>
                <c:pt idx="39">
                  <c:v>5</c:v>
                </c:pt>
                <c:pt idx="40">
                  <c:v>7</c:v>
                </c:pt>
                <c:pt idx="41">
                  <c:v>9</c:v>
                </c:pt>
                <c:pt idx="42">
                  <c:v>1</c:v>
                </c:pt>
                <c:pt idx="43">
                  <c:v>3</c:v>
                </c:pt>
                <c:pt idx="44">
                  <c:v>5</c:v>
                </c:pt>
                <c:pt idx="45">
                  <c:v>7</c:v>
                </c:pt>
                <c:pt idx="46">
                  <c:v>9</c:v>
                </c:pt>
                <c:pt idx="47">
                  <c:v>5</c:v>
                </c:pt>
                <c:pt idx="48">
                  <c:v>7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02-4E47-99CC-C90B3A67258B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Performance_Rating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Sheet2!$A$4:$A$356</c:f>
              <c:multiLvlStrCache>
                <c:ptCount val="50"/>
                <c:lvl>
                  <c:pt idx="0">
                    <c:v>10/10/2024</c:v>
                  </c:pt>
                  <c:pt idx="1">
                    <c:v>12/12/2024</c:v>
                  </c:pt>
                  <c:pt idx="2">
                    <c:v>14/02/2024</c:v>
                  </c:pt>
                  <c:pt idx="3">
                    <c:v>16/04/2024</c:v>
                  </c:pt>
                  <c:pt idx="4">
                    <c:v>18/06/2024</c:v>
                  </c:pt>
                  <c:pt idx="5">
                    <c:v>02/02/2024</c:v>
                  </c:pt>
                  <c:pt idx="6">
                    <c:v>20/08/2024</c:v>
                  </c:pt>
                  <c:pt idx="7">
                    <c:v>22/10/2024</c:v>
                  </c:pt>
                  <c:pt idx="8">
                    <c:v>24/12/2024</c:v>
                  </c:pt>
                  <c:pt idx="9">
                    <c:v>26/02/2024</c:v>
                  </c:pt>
                  <c:pt idx="10">
                    <c:v>28/04/2024</c:v>
                  </c:pt>
                  <c:pt idx="11">
                    <c:v>02/06/2024</c:v>
                  </c:pt>
                  <c:pt idx="12">
                    <c:v>04/08/2024</c:v>
                  </c:pt>
                  <c:pt idx="13">
                    <c:v>06/10/2024</c:v>
                  </c:pt>
                  <c:pt idx="14">
                    <c:v>08/12/2024</c:v>
                  </c:pt>
                  <c:pt idx="15">
                    <c:v>10/02/2024</c:v>
                  </c:pt>
                  <c:pt idx="16">
                    <c:v>04/04/2024</c:v>
                  </c:pt>
                  <c:pt idx="17">
                    <c:v>12/04/2024</c:v>
                  </c:pt>
                  <c:pt idx="18">
                    <c:v>14/06/2024</c:v>
                  </c:pt>
                  <c:pt idx="19">
                    <c:v>16/08/2024</c:v>
                  </c:pt>
                  <c:pt idx="20">
                    <c:v>18/10/2024</c:v>
                  </c:pt>
                  <c:pt idx="21">
                    <c:v>20/12/2024</c:v>
                  </c:pt>
                  <c:pt idx="22">
                    <c:v>22/02/2024</c:v>
                  </c:pt>
                  <c:pt idx="23">
                    <c:v>06/06/2024</c:v>
                  </c:pt>
                  <c:pt idx="24">
                    <c:v>08/08/2024</c:v>
                  </c:pt>
                  <c:pt idx="25">
                    <c:v>01/01/2024</c:v>
                  </c:pt>
                  <c:pt idx="26">
                    <c:v>11/11/2024</c:v>
                  </c:pt>
                  <c:pt idx="27">
                    <c:v>13/01/2024</c:v>
                  </c:pt>
                  <c:pt idx="28">
                    <c:v>15/03/2024</c:v>
                  </c:pt>
                  <c:pt idx="29">
                    <c:v>17/05/2024</c:v>
                  </c:pt>
                  <c:pt idx="30">
                    <c:v>19/07/2024</c:v>
                  </c:pt>
                  <c:pt idx="31">
                    <c:v>21/09/2024</c:v>
                  </c:pt>
                  <c:pt idx="32">
                    <c:v>23/11/2024</c:v>
                  </c:pt>
                  <c:pt idx="33">
                    <c:v>25/01/2024</c:v>
                  </c:pt>
                  <c:pt idx="34">
                    <c:v>27/03/2024</c:v>
                  </c:pt>
                  <c:pt idx="35">
                    <c:v>01/05/2024</c:v>
                  </c:pt>
                  <c:pt idx="36">
                    <c:v>03/03/2024</c:v>
                  </c:pt>
                  <c:pt idx="37">
                    <c:v>03/07/2024</c:v>
                  </c:pt>
                  <c:pt idx="38">
                    <c:v>05/09/2024</c:v>
                  </c:pt>
                  <c:pt idx="39">
                    <c:v>07/11/2024</c:v>
                  </c:pt>
                  <c:pt idx="40">
                    <c:v>09/01/2024</c:v>
                  </c:pt>
                  <c:pt idx="41">
                    <c:v>11/03/2024</c:v>
                  </c:pt>
                  <c:pt idx="42">
                    <c:v>13/05/2024</c:v>
                  </c:pt>
                  <c:pt idx="43">
                    <c:v>15/07/2024</c:v>
                  </c:pt>
                  <c:pt idx="44">
                    <c:v>17/09/2024</c:v>
                  </c:pt>
                  <c:pt idx="45">
                    <c:v>19/11/2024</c:v>
                  </c:pt>
                  <c:pt idx="46">
                    <c:v>21/01/2024</c:v>
                  </c:pt>
                  <c:pt idx="47">
                    <c:v>05/05/2024</c:v>
                  </c:pt>
                  <c:pt idx="48">
                    <c:v>07/07/2024</c:v>
                  </c:pt>
                  <c:pt idx="49">
                    <c:v>09/09/2024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Abuja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Abuja</c:v>
                  </c:pt>
                  <c:pt idx="6">
                    <c:v>Abuja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Abuja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Abuja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Abuja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Abuja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Abuja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Owerri</c:v>
                  </c:pt>
                  <c:pt idx="27">
                    <c:v>Lagos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Lagos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Lagos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Lagos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Lagos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Lagos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Lagos</c:v>
                  </c:pt>
                  <c:pt idx="47">
                    <c:v>Owerri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Active</c:v>
                  </c:pt>
                  <c:pt idx="1">
                    <c:v>Resigned</c:v>
                  </c:pt>
                  <c:pt idx="2">
                    <c:v>Active</c:v>
                  </c:pt>
                  <c:pt idx="3">
                    <c:v>Resigned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Resigned</c:v>
                  </c:pt>
                  <c:pt idx="7">
                    <c:v>Active</c:v>
                  </c:pt>
                  <c:pt idx="8">
                    <c:v>Resigned</c:v>
                  </c:pt>
                  <c:pt idx="9">
                    <c:v>Active</c:v>
                  </c:pt>
                  <c:pt idx="10">
                    <c:v>Resigned</c:v>
                  </c:pt>
                  <c:pt idx="11">
                    <c:v>Active</c:v>
                  </c:pt>
                  <c:pt idx="12">
                    <c:v>Resigned</c:v>
                  </c:pt>
                  <c:pt idx="13">
                    <c:v>Active</c:v>
                  </c:pt>
                  <c:pt idx="14">
                    <c:v>Resigned</c:v>
                  </c:pt>
                  <c:pt idx="15">
                    <c:v>Active</c:v>
                  </c:pt>
                  <c:pt idx="16">
                    <c:v>Resigned</c:v>
                  </c:pt>
                  <c:pt idx="17">
                    <c:v>Resigned</c:v>
                  </c:pt>
                  <c:pt idx="18">
                    <c:v>Active</c:v>
                  </c:pt>
                  <c:pt idx="19">
                    <c:v>Resigned</c:v>
                  </c:pt>
                  <c:pt idx="20">
                    <c:v>Active</c:v>
                  </c:pt>
                  <c:pt idx="21">
                    <c:v>Resigned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Resigned</c:v>
                  </c:pt>
                  <c:pt idx="25">
                    <c:v>Active</c:v>
                  </c:pt>
                  <c:pt idx="26">
                    <c:v>On Leave</c:v>
                  </c:pt>
                  <c:pt idx="27">
                    <c:v>Active</c:v>
                  </c:pt>
                  <c:pt idx="28">
                    <c:v>On Leave</c:v>
                  </c:pt>
                  <c:pt idx="29">
                    <c:v>Active</c:v>
                  </c:pt>
                  <c:pt idx="30">
                    <c:v>On Leave</c:v>
                  </c:pt>
                  <c:pt idx="31">
                    <c:v>Active</c:v>
                  </c:pt>
                  <c:pt idx="32">
                    <c:v>On Leave</c:v>
                  </c:pt>
                  <c:pt idx="33">
                    <c:v>Active</c:v>
                  </c:pt>
                  <c:pt idx="34">
                    <c:v>On Leave</c:v>
                  </c:pt>
                  <c:pt idx="35">
                    <c:v>Active</c:v>
                  </c:pt>
                  <c:pt idx="36">
                    <c:v>On Leave</c:v>
                  </c:pt>
                  <c:pt idx="37">
                    <c:v>On Leave</c:v>
                  </c:pt>
                  <c:pt idx="38">
                    <c:v>Active</c:v>
                  </c:pt>
                  <c:pt idx="39">
                    <c:v>On Leave</c:v>
                  </c:pt>
                  <c:pt idx="40">
                    <c:v>Active</c:v>
                  </c:pt>
                  <c:pt idx="41">
                    <c:v>On Leave</c:v>
                  </c:pt>
                  <c:pt idx="42">
                    <c:v>Active</c:v>
                  </c:pt>
                  <c:pt idx="43">
                    <c:v>On Leave</c:v>
                  </c:pt>
                  <c:pt idx="44">
                    <c:v>Active</c:v>
                  </c:pt>
                  <c:pt idx="45">
                    <c:v>On Leave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On Leave</c:v>
                  </c:pt>
                  <c:pt idx="49">
                    <c:v>Active</c:v>
                  </c:pt>
                </c:lvl>
                <c:lvl>
                  <c:pt idx="0">
                    <c:v>HND</c:v>
                  </c:pt>
                  <c:pt idx="1">
                    <c:v>OND</c:v>
                  </c:pt>
                  <c:pt idx="2">
                    <c:v>HND</c:v>
                  </c:pt>
                  <c:pt idx="3">
                    <c:v>OND</c:v>
                  </c:pt>
                  <c:pt idx="4">
                    <c:v>HND</c:v>
                  </c:pt>
                  <c:pt idx="5">
                    <c:v>HND</c:v>
                  </c:pt>
                  <c:pt idx="6">
                    <c:v>OND</c:v>
                  </c:pt>
                  <c:pt idx="7">
                    <c:v>HND</c:v>
                  </c:pt>
                  <c:pt idx="8">
                    <c:v>OND</c:v>
                  </c:pt>
                  <c:pt idx="9">
                    <c:v>HND</c:v>
                  </c:pt>
                  <c:pt idx="10">
                    <c:v>OND</c:v>
                  </c:pt>
                  <c:pt idx="11">
                    <c:v>HND</c:v>
                  </c:pt>
                  <c:pt idx="12">
                    <c:v>OND</c:v>
                  </c:pt>
                  <c:pt idx="13">
                    <c:v>HND</c:v>
                  </c:pt>
                  <c:pt idx="14">
                    <c:v>OND</c:v>
                  </c:pt>
                  <c:pt idx="15">
                    <c:v>HND</c:v>
                  </c:pt>
                  <c:pt idx="16">
                    <c:v>OND</c:v>
                  </c:pt>
                  <c:pt idx="17">
                    <c:v>OND</c:v>
                  </c:pt>
                  <c:pt idx="18">
                    <c:v>HND</c:v>
                  </c:pt>
                  <c:pt idx="19">
                    <c:v>OND</c:v>
                  </c:pt>
                  <c:pt idx="20">
                    <c:v>HND</c:v>
                  </c:pt>
                  <c:pt idx="21">
                    <c:v>OND</c:v>
                  </c:pt>
                  <c:pt idx="22">
                    <c:v>HND</c:v>
                  </c:pt>
                  <c:pt idx="23">
                    <c:v>HND</c:v>
                  </c:pt>
                  <c:pt idx="24">
                    <c:v>OND</c:v>
                  </c:pt>
                  <c:pt idx="25">
                    <c:v>BSc</c:v>
                  </c:pt>
                  <c:pt idx="26">
                    <c:v>MSc</c:v>
                  </c:pt>
                  <c:pt idx="27">
                    <c:v>BSc</c:v>
                  </c:pt>
                  <c:pt idx="28">
                    <c:v>MSc</c:v>
                  </c:pt>
                  <c:pt idx="29">
                    <c:v>BSc</c:v>
                  </c:pt>
                  <c:pt idx="30">
                    <c:v>MSc</c:v>
                  </c:pt>
                  <c:pt idx="31">
                    <c:v>BSc</c:v>
                  </c:pt>
                  <c:pt idx="32">
                    <c:v>MSc</c:v>
                  </c:pt>
                  <c:pt idx="33">
                    <c:v>BSc</c:v>
                  </c:pt>
                  <c:pt idx="34">
                    <c:v>MSc</c:v>
                  </c:pt>
                  <c:pt idx="35">
                    <c:v>BSc</c:v>
                  </c:pt>
                  <c:pt idx="36">
                    <c:v>MSc</c:v>
                  </c:pt>
                  <c:pt idx="37">
                    <c:v>MSc</c:v>
                  </c:pt>
                  <c:pt idx="38">
                    <c:v>BSc</c:v>
                  </c:pt>
                  <c:pt idx="39">
                    <c:v>MSc</c:v>
                  </c:pt>
                  <c:pt idx="40">
                    <c:v>BSc</c:v>
                  </c:pt>
                  <c:pt idx="41">
                    <c:v>MSc</c:v>
                  </c:pt>
                  <c:pt idx="42">
                    <c:v>BSc</c:v>
                  </c:pt>
                  <c:pt idx="43">
                    <c:v>MSc</c:v>
                  </c:pt>
                  <c:pt idx="44">
                    <c:v>BSc</c:v>
                  </c:pt>
                  <c:pt idx="45">
                    <c:v>MSc</c:v>
                  </c:pt>
                  <c:pt idx="46">
                    <c:v>BSc</c:v>
                  </c:pt>
                  <c:pt idx="47">
                    <c:v>BSc</c:v>
                  </c:pt>
                  <c:pt idx="48">
                    <c:v>MSc</c:v>
                  </c:pt>
                  <c:pt idx="49">
                    <c:v>BSc</c:v>
                  </c:pt>
                </c:lvl>
                <c:lvl>
                  <c:pt idx="0">
                    <c:v>Sales Rep</c:v>
                  </c:pt>
                  <c:pt idx="1">
                    <c:v>Operations Officer</c:v>
                  </c:pt>
                  <c:pt idx="2">
                    <c:v>HR Officer</c:v>
                  </c:pt>
                  <c:pt idx="3">
                    <c:v>Sales Rep</c:v>
                  </c:pt>
                  <c:pt idx="4">
                    <c:v>Operations Officer</c:v>
                  </c:pt>
                  <c:pt idx="5">
                    <c:v>HR Officer</c:v>
                  </c:pt>
                  <c:pt idx="6">
                    <c:v>HR Officer</c:v>
                  </c:pt>
                  <c:pt idx="7">
                    <c:v>Sales Rep</c:v>
                  </c:pt>
                  <c:pt idx="8">
                    <c:v>Operations Officer</c:v>
                  </c:pt>
                  <c:pt idx="9">
                    <c:v>HR Officer</c:v>
                  </c:pt>
                  <c:pt idx="10">
                    <c:v>Sales Rep</c:v>
                  </c:pt>
                  <c:pt idx="11">
                    <c:v>Operations Officer</c:v>
                  </c:pt>
                  <c:pt idx="12">
                    <c:v>HR Officer</c:v>
                  </c:pt>
                  <c:pt idx="13">
                    <c:v>Sales Rep</c:v>
                  </c:pt>
                  <c:pt idx="14">
                    <c:v>Operations Officer</c:v>
                  </c:pt>
                  <c:pt idx="15">
                    <c:v>HR Officer</c:v>
                  </c:pt>
                  <c:pt idx="16">
                    <c:v>Sales Rep</c:v>
                  </c:pt>
                  <c:pt idx="17">
                    <c:v>Sales Rep</c:v>
                  </c:pt>
                  <c:pt idx="18">
                    <c:v>Operations Officer</c:v>
                  </c:pt>
                  <c:pt idx="19">
                    <c:v>HR Officer</c:v>
                  </c:pt>
                  <c:pt idx="20">
                    <c:v>Sales Rep</c:v>
                  </c:pt>
                  <c:pt idx="21">
                    <c:v>Operations Officer</c:v>
                  </c:pt>
                  <c:pt idx="22">
                    <c:v>HR Officer</c:v>
                  </c:pt>
                  <c:pt idx="23">
                    <c:v>Operations Officer</c:v>
                  </c:pt>
                  <c:pt idx="24">
                    <c:v>HR Officer</c:v>
                  </c:pt>
                  <c:pt idx="25">
                    <c:v>Data Analyst</c:v>
                  </c:pt>
                  <c:pt idx="26">
                    <c:v>Marketing Exec</c:v>
                  </c:pt>
                  <c:pt idx="27">
                    <c:v>Data Analyst</c:v>
                  </c:pt>
                  <c:pt idx="28">
                    <c:v>Accountant</c:v>
                  </c:pt>
                  <c:pt idx="29">
                    <c:v>Marketing Exec</c:v>
                  </c:pt>
                  <c:pt idx="30">
                    <c:v>Data Analyst</c:v>
                  </c:pt>
                  <c:pt idx="31">
                    <c:v>Accountant</c:v>
                  </c:pt>
                  <c:pt idx="32">
                    <c:v>Marketing Exec</c:v>
                  </c:pt>
                  <c:pt idx="33">
                    <c:v>Data Analyst</c:v>
                  </c:pt>
                  <c:pt idx="34">
                    <c:v>Accountant</c:v>
                  </c:pt>
                  <c:pt idx="35">
                    <c:v>Marketing Exec</c:v>
                  </c:pt>
                  <c:pt idx="36">
                    <c:v>Accountant</c:v>
                  </c:pt>
                  <c:pt idx="37">
                    <c:v>Data Analyst</c:v>
                  </c:pt>
                  <c:pt idx="38">
                    <c:v>Accountant</c:v>
                  </c:pt>
                  <c:pt idx="39">
                    <c:v>Marketing Exec</c:v>
                  </c:pt>
                  <c:pt idx="40">
                    <c:v>Data Analyst</c:v>
                  </c:pt>
                  <c:pt idx="41">
                    <c:v>Accountant</c:v>
                  </c:pt>
                  <c:pt idx="42">
                    <c:v>Marketing Exec</c:v>
                  </c:pt>
                  <c:pt idx="43">
                    <c:v>Data Analyst</c:v>
                  </c:pt>
                  <c:pt idx="44">
                    <c:v>Accountant</c:v>
                  </c:pt>
                  <c:pt idx="45">
                    <c:v>Marketing Exec</c:v>
                  </c:pt>
                  <c:pt idx="46">
                    <c:v>Data Analyst</c:v>
                  </c:pt>
                  <c:pt idx="47">
                    <c:v>Marketing Exec</c:v>
                  </c:pt>
                  <c:pt idx="48">
                    <c:v>Data Analyst</c:v>
                  </c:pt>
                  <c:pt idx="49">
                    <c:v>Accountant</c:v>
                  </c:pt>
                </c:lvl>
                <c:lvl>
                  <c:pt idx="0">
                    <c:v>Sales</c:v>
                  </c:pt>
                  <c:pt idx="1">
                    <c:v>Operations</c:v>
                  </c:pt>
                  <c:pt idx="2">
                    <c:v>HR</c:v>
                  </c:pt>
                  <c:pt idx="3">
                    <c:v>Sales</c:v>
                  </c:pt>
                  <c:pt idx="4">
                    <c:v>Operations</c:v>
                  </c:pt>
                  <c:pt idx="5">
                    <c:v>HR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Operations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Operations</c:v>
                  </c:pt>
                  <c:pt idx="12">
                    <c:v>HR</c:v>
                  </c:pt>
                  <c:pt idx="13">
                    <c:v>Sales</c:v>
                  </c:pt>
                  <c:pt idx="14">
                    <c:v>Operations</c:v>
                  </c:pt>
                  <c:pt idx="15">
                    <c:v>HR</c:v>
                  </c:pt>
                  <c:pt idx="16">
                    <c:v>Sales</c:v>
                  </c:pt>
                  <c:pt idx="17">
                    <c:v>Sales</c:v>
                  </c:pt>
                  <c:pt idx="18">
                    <c:v>Operations</c:v>
                  </c:pt>
                  <c:pt idx="19">
                    <c:v>HR</c:v>
                  </c:pt>
                  <c:pt idx="20">
                    <c:v>Sales</c:v>
                  </c:pt>
                  <c:pt idx="21">
                    <c:v>Operations</c:v>
                  </c:pt>
                  <c:pt idx="22">
                    <c:v>HR</c:v>
                  </c:pt>
                  <c:pt idx="23">
                    <c:v>Operations</c:v>
                  </c:pt>
                  <c:pt idx="24">
                    <c:v>HR</c:v>
                  </c:pt>
                  <c:pt idx="25">
                    <c:v>IT</c:v>
                  </c:pt>
                  <c:pt idx="26">
                    <c:v>Marketing</c:v>
                  </c:pt>
                  <c:pt idx="27">
                    <c:v>IT</c:v>
                  </c:pt>
                  <c:pt idx="28">
                    <c:v>Finance</c:v>
                  </c:pt>
                  <c:pt idx="29">
                    <c:v>Marketing</c:v>
                  </c:pt>
                  <c:pt idx="30">
                    <c:v>IT</c:v>
                  </c:pt>
                  <c:pt idx="31">
                    <c:v>Finance</c:v>
                  </c:pt>
                  <c:pt idx="32">
                    <c:v>Marketing</c:v>
                  </c:pt>
                  <c:pt idx="33">
                    <c:v>IT</c:v>
                  </c:pt>
                  <c:pt idx="34">
                    <c:v>Finance</c:v>
                  </c:pt>
                  <c:pt idx="35">
                    <c:v>Marketing</c:v>
                  </c:pt>
                  <c:pt idx="36">
                    <c:v>Finance</c:v>
                  </c:pt>
                  <c:pt idx="37">
                    <c:v>IT</c:v>
                  </c:pt>
                  <c:pt idx="38">
                    <c:v>Finance</c:v>
                  </c:pt>
                  <c:pt idx="39">
                    <c:v>Marketing</c:v>
                  </c:pt>
                  <c:pt idx="40">
                    <c:v>IT</c:v>
                  </c:pt>
                  <c:pt idx="41">
                    <c:v>Finance</c:v>
                  </c:pt>
                  <c:pt idx="42">
                    <c:v>Marketing</c:v>
                  </c:pt>
                  <c:pt idx="43">
                    <c:v>IT</c:v>
                  </c:pt>
                  <c:pt idx="44">
                    <c:v>Finance</c:v>
                  </c:pt>
                  <c:pt idx="45">
                    <c:v>Marketing</c:v>
                  </c:pt>
                  <c:pt idx="46">
                    <c:v>IT</c:v>
                  </c:pt>
                  <c:pt idx="47">
                    <c:v>Marketing</c:v>
                  </c:pt>
                  <c:pt idx="48">
                    <c:v>IT</c:v>
                  </c:pt>
                  <c:pt idx="49">
                    <c:v>Finance</c:v>
                  </c:pt>
                </c:lvl>
                <c:lvl>
                  <c:pt idx="0">
                    <c:v>Employee 10</c:v>
                  </c:pt>
                  <c:pt idx="1">
                    <c:v>Employee 12</c:v>
                  </c:pt>
                  <c:pt idx="2">
                    <c:v>Employee 14</c:v>
                  </c:pt>
                  <c:pt idx="3">
                    <c:v>Employee 16</c:v>
                  </c:pt>
                  <c:pt idx="4">
                    <c:v>Employee 18</c:v>
                  </c:pt>
                  <c:pt idx="5">
                    <c:v>Employee 2</c:v>
                  </c:pt>
                  <c:pt idx="6">
                    <c:v>Employee 20</c:v>
                  </c:pt>
                  <c:pt idx="7">
                    <c:v>Employee 22</c:v>
                  </c:pt>
                  <c:pt idx="8">
                    <c:v>Employee 24</c:v>
                  </c:pt>
                  <c:pt idx="9">
                    <c:v>Employee 26</c:v>
                  </c:pt>
                  <c:pt idx="10">
                    <c:v>Employee 28</c:v>
                  </c:pt>
                  <c:pt idx="11">
                    <c:v>Employee 30</c:v>
                  </c:pt>
                  <c:pt idx="12">
                    <c:v>Employee 32</c:v>
                  </c:pt>
                  <c:pt idx="13">
                    <c:v>Employee 34</c:v>
                  </c:pt>
                  <c:pt idx="14">
                    <c:v>Employee 36</c:v>
                  </c:pt>
                  <c:pt idx="15">
                    <c:v>Employee 38</c:v>
                  </c:pt>
                  <c:pt idx="16">
                    <c:v>Employee 4</c:v>
                  </c:pt>
                  <c:pt idx="17">
                    <c:v>Employee 40</c:v>
                  </c:pt>
                  <c:pt idx="18">
                    <c:v>Employee 42</c:v>
                  </c:pt>
                  <c:pt idx="19">
                    <c:v>Employee 44</c:v>
                  </c:pt>
                  <c:pt idx="20">
                    <c:v>Employee 46</c:v>
                  </c:pt>
                  <c:pt idx="21">
                    <c:v>Employee 48</c:v>
                  </c:pt>
                  <c:pt idx="22">
                    <c:v>Employee 50</c:v>
                  </c:pt>
                  <c:pt idx="23">
                    <c:v>Employee 6</c:v>
                  </c:pt>
                  <c:pt idx="24">
                    <c:v>Employee 8</c:v>
                  </c:pt>
                  <c:pt idx="25">
                    <c:v>Employee 1</c:v>
                  </c:pt>
                  <c:pt idx="26">
                    <c:v>Employee 11</c:v>
                  </c:pt>
                  <c:pt idx="27">
                    <c:v>Employee 13</c:v>
                  </c:pt>
                  <c:pt idx="28">
                    <c:v>Employee 15</c:v>
                  </c:pt>
                  <c:pt idx="29">
                    <c:v>Employee 17</c:v>
                  </c:pt>
                  <c:pt idx="30">
                    <c:v>Employee 19</c:v>
                  </c:pt>
                  <c:pt idx="31">
                    <c:v>Employee 21</c:v>
                  </c:pt>
                  <c:pt idx="32">
                    <c:v>Employee 23</c:v>
                  </c:pt>
                  <c:pt idx="33">
                    <c:v>Employee 25</c:v>
                  </c:pt>
                  <c:pt idx="34">
                    <c:v>Employee 27</c:v>
                  </c:pt>
                  <c:pt idx="35">
                    <c:v>Employee 29</c:v>
                  </c:pt>
                  <c:pt idx="36">
                    <c:v>Employee 3</c:v>
                  </c:pt>
                  <c:pt idx="37">
                    <c:v>Employee 31</c:v>
                  </c:pt>
                  <c:pt idx="38">
                    <c:v>Employee 33</c:v>
                  </c:pt>
                  <c:pt idx="39">
                    <c:v>Employee 35</c:v>
                  </c:pt>
                  <c:pt idx="40">
                    <c:v>Employee 37</c:v>
                  </c:pt>
                  <c:pt idx="41">
                    <c:v>Employee 39</c:v>
                  </c:pt>
                  <c:pt idx="42">
                    <c:v>Employee 41</c:v>
                  </c:pt>
                  <c:pt idx="43">
                    <c:v>Employee 43</c:v>
                  </c:pt>
                  <c:pt idx="44">
                    <c:v>Employee 45</c:v>
                  </c:pt>
                  <c:pt idx="45">
                    <c:v>Employee 47</c:v>
                  </c:pt>
                  <c:pt idx="46">
                    <c:v>Employee 49</c:v>
                  </c:pt>
                  <c:pt idx="47">
                    <c:v>Employee 5</c:v>
                  </c:pt>
                  <c:pt idx="48">
                    <c:v>Employee 7</c:v>
                  </c:pt>
                  <c:pt idx="49">
                    <c:v>Employee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Sheet2!$F$4:$F$356</c:f>
              <c:numCache>
                <c:formatCode>General</c:formatCode>
                <c:ptCount val="50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  <c:pt idx="40">
                  <c:v>3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5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3</c:v>
                </c:pt>
                <c:pt idx="4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02-4E47-99CC-C90B3A672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822800"/>
        <c:axId val="489822448"/>
      </c:barChart>
      <c:catAx>
        <c:axId val="48982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22448"/>
        <c:crosses val="autoZero"/>
        <c:auto val="1"/>
        <c:lblAlgn val="ctr"/>
        <c:lblOffset val="100"/>
        <c:noMultiLvlLbl val="0"/>
      </c:catAx>
      <c:valAx>
        <c:axId val="48982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128587</xdr:rowOff>
    </xdr:from>
    <xdr:to>
      <xdr:col>14</xdr:col>
      <xdr:colOff>28575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44815-9474-BAF6-2C8A-2E99E661D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16.535116782405" createdVersion="8" refreshedVersion="8" minRefreshableVersion="3" recordCount="50" xr:uid="{8A6A4A8D-4D24-49CF-8281-27F0138F30C6}">
  <cacheSource type="worksheet">
    <worksheetSource ref="A1:M51" sheet="HR_Analytics"/>
  </cacheSource>
  <cacheFields count="13">
    <cacheField name="Employee_ID" numFmtId="0">
      <sharedItems containsSemiMixedTypes="0" containsString="0" containsNumber="1" containsInteger="1" minValue="2001" maxValue="2050" count="50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</sharedItems>
    </cacheField>
    <cacheField name="Employee_Name" numFmtId="0">
      <sharedItems count="50">
        <s v="Employee 1"/>
        <s v="Employee 2"/>
        <s v="Employee 3"/>
        <s v="Employee 4"/>
        <s v="Employee 5"/>
        <s v="Employee 6"/>
        <s v="Employee 7"/>
        <s v="Employee 8"/>
        <s v="Employee 9"/>
        <s v="Employee 10"/>
        <s v="Employee 11"/>
        <s v="Employee 12"/>
        <s v="Employee 13"/>
        <s v="Employee 14"/>
        <s v="Employee 15"/>
        <s v="Employee 16"/>
        <s v="Employee 17"/>
        <s v="Employee 18"/>
        <s v="Employee 19"/>
        <s v="Employee 20"/>
        <s v="Employee 21"/>
        <s v="Employee 22"/>
        <s v="Employee 23"/>
        <s v="Employee 24"/>
        <s v="Employee 25"/>
        <s v="Employee 26"/>
        <s v="Employee 27"/>
        <s v="Employee 28"/>
        <s v="Employee 29"/>
        <s v="Employee 30"/>
        <s v="Employee 31"/>
        <s v="Employee 32"/>
        <s v="Employee 33"/>
        <s v="Employee 34"/>
        <s v="Employee 35"/>
        <s v="Employee 36"/>
        <s v="Employee 37"/>
        <s v="Employee 38"/>
        <s v="Employee 39"/>
        <s v="Employee 40"/>
        <s v="Employee 41"/>
        <s v="Employee 42"/>
        <s v="Employee 43"/>
        <s v="Employee 44"/>
        <s v="Employee 45"/>
        <s v="Employee 46"/>
        <s v="Employee 47"/>
        <s v="Employee 48"/>
        <s v="Employee 49"/>
        <s v="Employee 5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0"/>
    </cacheField>
    <cacheField name="Department" numFmtId="0">
      <sharedItems count="6">
        <s v="IT"/>
        <s v="HR"/>
        <s v="Finance"/>
        <s v="Sales"/>
        <s v="Marketing"/>
        <s v="Operations"/>
      </sharedItems>
    </cacheField>
    <cacheField name="Job_Role" numFmtId="0">
      <sharedItems count="6">
        <s v="Data Analyst"/>
        <s v="HR Officer"/>
        <s v="Accountant"/>
        <s v="Sales Rep"/>
        <s v="Marketing Exec"/>
        <s v="Operations Officer"/>
      </sharedItems>
    </cacheField>
    <cacheField name="Salary" numFmtId="0">
      <sharedItems containsSemiMixedTypes="0" containsString="0" containsNumber="1" containsInteger="1" minValue="180000" maxValue="630000"/>
    </cacheField>
    <cacheField name="Experience_Years" numFmtId="0">
      <sharedItems containsSemiMixedTypes="0" containsString="0" containsNumber="1" containsInteger="1" minValue="1" maxValue="10"/>
    </cacheField>
    <cacheField name="Performance_Rating" numFmtId="0">
      <sharedItems containsSemiMixedTypes="0" containsString="0" containsNumber="1" containsInteger="1" minValue="3" maxValue="5" count="3">
        <n v="3"/>
        <n v="4"/>
        <n v="5"/>
      </sharedItems>
    </cacheField>
    <cacheField name="Education" numFmtId="0">
      <sharedItems count="4">
        <s v="BSc"/>
        <s v="HND"/>
        <s v="MSc"/>
        <s v="OND"/>
      </sharedItems>
    </cacheField>
    <cacheField name="City" numFmtId="0">
      <sharedItems count="6">
        <s v="Lagos"/>
        <s v="Abuja"/>
        <s v="Port Harcourt"/>
        <s v="Enugu"/>
        <s v="Owerri"/>
        <s v="Kano"/>
      </sharedItems>
    </cacheField>
    <cacheField name="Employment_Status" numFmtId="0">
      <sharedItems count="3">
        <s v="Active"/>
        <s v="On Leave"/>
        <s v="Resigned"/>
      </sharedItems>
    </cacheField>
    <cacheField name="Hire_Date" numFmtId="0">
      <sharedItems count="50">
        <s v="01/01/2024"/>
        <s v="02/02/2024"/>
        <s v="03/03/2024"/>
        <s v="04/04/2024"/>
        <s v="05/05/2024"/>
        <s v="06/06/2024"/>
        <s v="07/07/2024"/>
        <s v="08/08/2024"/>
        <s v="09/09/2024"/>
        <s v="10/10/2024"/>
        <s v="11/11/2024"/>
        <s v="12/12/2024"/>
        <s v="13/01/2024"/>
        <s v="14/02/2024"/>
        <s v="15/03/2024"/>
        <s v="16/04/2024"/>
        <s v="17/05/2024"/>
        <s v="18/06/2024"/>
        <s v="19/07/2024"/>
        <s v="20/08/2024"/>
        <s v="21/09/2024"/>
        <s v="22/10/2024"/>
        <s v="23/11/2024"/>
        <s v="24/12/2024"/>
        <s v="25/01/2024"/>
        <s v="26/02/2024"/>
        <s v="27/03/2024"/>
        <s v="28/04/2024"/>
        <s v="01/05/2024"/>
        <s v="02/06/2024"/>
        <s v="03/07/2024"/>
        <s v="04/08/2024"/>
        <s v="05/09/2024"/>
        <s v="06/10/2024"/>
        <s v="07/11/2024"/>
        <s v="08/12/2024"/>
        <s v="09/01/2024"/>
        <s v="10/02/2024"/>
        <s v="11/03/2024"/>
        <s v="12/04/2024"/>
        <s v="13/05/2024"/>
        <s v="14/06/2024"/>
        <s v="15/07/2024"/>
        <s v="16/08/2024"/>
        <s v="17/09/2024"/>
        <s v="18/10/2024"/>
        <s v="19/11/2024"/>
        <s v="20/12/2024"/>
        <s v="21/01/2024"/>
        <s v="22/02/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23"/>
    <x v="0"/>
    <x v="0"/>
    <n v="180000"/>
    <n v="1"/>
    <x v="0"/>
    <x v="0"/>
    <x v="0"/>
    <x v="0"/>
    <x v="0"/>
  </r>
  <r>
    <x v="1"/>
    <x v="1"/>
    <x v="1"/>
    <n v="24"/>
    <x v="1"/>
    <x v="1"/>
    <n v="230000"/>
    <n v="2"/>
    <x v="1"/>
    <x v="1"/>
    <x v="1"/>
    <x v="0"/>
    <x v="1"/>
  </r>
  <r>
    <x v="2"/>
    <x v="2"/>
    <x v="0"/>
    <n v="25"/>
    <x v="2"/>
    <x v="2"/>
    <n v="280000"/>
    <n v="3"/>
    <x v="2"/>
    <x v="2"/>
    <x v="2"/>
    <x v="1"/>
    <x v="2"/>
  </r>
  <r>
    <x v="3"/>
    <x v="3"/>
    <x v="1"/>
    <n v="26"/>
    <x v="3"/>
    <x v="3"/>
    <n v="330000"/>
    <n v="4"/>
    <x v="0"/>
    <x v="3"/>
    <x v="3"/>
    <x v="2"/>
    <x v="3"/>
  </r>
  <r>
    <x v="4"/>
    <x v="4"/>
    <x v="0"/>
    <n v="27"/>
    <x v="4"/>
    <x v="4"/>
    <n v="380000"/>
    <n v="5"/>
    <x v="1"/>
    <x v="0"/>
    <x v="4"/>
    <x v="0"/>
    <x v="4"/>
  </r>
  <r>
    <x v="5"/>
    <x v="5"/>
    <x v="1"/>
    <n v="28"/>
    <x v="5"/>
    <x v="5"/>
    <n v="430000"/>
    <n v="6"/>
    <x v="2"/>
    <x v="1"/>
    <x v="5"/>
    <x v="0"/>
    <x v="5"/>
  </r>
  <r>
    <x v="6"/>
    <x v="6"/>
    <x v="0"/>
    <n v="29"/>
    <x v="0"/>
    <x v="0"/>
    <n v="480000"/>
    <n v="7"/>
    <x v="0"/>
    <x v="2"/>
    <x v="0"/>
    <x v="1"/>
    <x v="6"/>
  </r>
  <r>
    <x v="7"/>
    <x v="7"/>
    <x v="1"/>
    <n v="30"/>
    <x v="1"/>
    <x v="1"/>
    <n v="530000"/>
    <n v="8"/>
    <x v="1"/>
    <x v="3"/>
    <x v="1"/>
    <x v="2"/>
    <x v="7"/>
  </r>
  <r>
    <x v="8"/>
    <x v="8"/>
    <x v="0"/>
    <n v="31"/>
    <x v="2"/>
    <x v="2"/>
    <n v="580000"/>
    <n v="9"/>
    <x v="2"/>
    <x v="0"/>
    <x v="2"/>
    <x v="0"/>
    <x v="8"/>
  </r>
  <r>
    <x v="9"/>
    <x v="9"/>
    <x v="1"/>
    <n v="32"/>
    <x v="3"/>
    <x v="3"/>
    <n v="630000"/>
    <n v="10"/>
    <x v="0"/>
    <x v="1"/>
    <x v="3"/>
    <x v="0"/>
    <x v="9"/>
  </r>
  <r>
    <x v="10"/>
    <x v="10"/>
    <x v="0"/>
    <n v="33"/>
    <x v="4"/>
    <x v="4"/>
    <n v="180000"/>
    <n v="1"/>
    <x v="1"/>
    <x v="2"/>
    <x v="4"/>
    <x v="1"/>
    <x v="10"/>
  </r>
  <r>
    <x v="11"/>
    <x v="11"/>
    <x v="1"/>
    <n v="34"/>
    <x v="5"/>
    <x v="5"/>
    <n v="230000"/>
    <n v="2"/>
    <x v="2"/>
    <x v="3"/>
    <x v="5"/>
    <x v="2"/>
    <x v="11"/>
  </r>
  <r>
    <x v="12"/>
    <x v="12"/>
    <x v="0"/>
    <n v="35"/>
    <x v="0"/>
    <x v="0"/>
    <n v="280000"/>
    <n v="3"/>
    <x v="0"/>
    <x v="0"/>
    <x v="0"/>
    <x v="0"/>
    <x v="12"/>
  </r>
  <r>
    <x v="13"/>
    <x v="13"/>
    <x v="1"/>
    <n v="36"/>
    <x v="1"/>
    <x v="1"/>
    <n v="330000"/>
    <n v="4"/>
    <x v="1"/>
    <x v="1"/>
    <x v="1"/>
    <x v="0"/>
    <x v="13"/>
  </r>
  <r>
    <x v="14"/>
    <x v="14"/>
    <x v="0"/>
    <n v="37"/>
    <x v="2"/>
    <x v="2"/>
    <n v="380000"/>
    <n v="5"/>
    <x v="2"/>
    <x v="2"/>
    <x v="2"/>
    <x v="1"/>
    <x v="14"/>
  </r>
  <r>
    <x v="15"/>
    <x v="15"/>
    <x v="1"/>
    <n v="38"/>
    <x v="3"/>
    <x v="3"/>
    <n v="430000"/>
    <n v="6"/>
    <x v="0"/>
    <x v="3"/>
    <x v="3"/>
    <x v="2"/>
    <x v="15"/>
  </r>
  <r>
    <x v="16"/>
    <x v="16"/>
    <x v="0"/>
    <n v="39"/>
    <x v="4"/>
    <x v="4"/>
    <n v="480000"/>
    <n v="7"/>
    <x v="1"/>
    <x v="0"/>
    <x v="4"/>
    <x v="0"/>
    <x v="16"/>
  </r>
  <r>
    <x v="17"/>
    <x v="17"/>
    <x v="1"/>
    <n v="40"/>
    <x v="5"/>
    <x v="5"/>
    <n v="530000"/>
    <n v="8"/>
    <x v="2"/>
    <x v="1"/>
    <x v="5"/>
    <x v="0"/>
    <x v="17"/>
  </r>
  <r>
    <x v="18"/>
    <x v="18"/>
    <x v="0"/>
    <n v="22"/>
    <x v="0"/>
    <x v="0"/>
    <n v="580000"/>
    <n v="9"/>
    <x v="0"/>
    <x v="2"/>
    <x v="0"/>
    <x v="1"/>
    <x v="18"/>
  </r>
  <r>
    <x v="19"/>
    <x v="19"/>
    <x v="1"/>
    <n v="23"/>
    <x v="1"/>
    <x v="1"/>
    <n v="630000"/>
    <n v="10"/>
    <x v="1"/>
    <x v="3"/>
    <x v="1"/>
    <x v="2"/>
    <x v="19"/>
  </r>
  <r>
    <x v="20"/>
    <x v="20"/>
    <x v="0"/>
    <n v="24"/>
    <x v="2"/>
    <x v="2"/>
    <n v="180000"/>
    <n v="1"/>
    <x v="2"/>
    <x v="0"/>
    <x v="2"/>
    <x v="0"/>
    <x v="20"/>
  </r>
  <r>
    <x v="21"/>
    <x v="21"/>
    <x v="1"/>
    <n v="25"/>
    <x v="3"/>
    <x v="3"/>
    <n v="230000"/>
    <n v="2"/>
    <x v="0"/>
    <x v="1"/>
    <x v="3"/>
    <x v="0"/>
    <x v="21"/>
  </r>
  <r>
    <x v="22"/>
    <x v="22"/>
    <x v="0"/>
    <n v="26"/>
    <x v="4"/>
    <x v="4"/>
    <n v="280000"/>
    <n v="3"/>
    <x v="1"/>
    <x v="2"/>
    <x v="4"/>
    <x v="1"/>
    <x v="22"/>
  </r>
  <r>
    <x v="23"/>
    <x v="23"/>
    <x v="1"/>
    <n v="27"/>
    <x v="5"/>
    <x v="5"/>
    <n v="330000"/>
    <n v="4"/>
    <x v="2"/>
    <x v="3"/>
    <x v="5"/>
    <x v="2"/>
    <x v="23"/>
  </r>
  <r>
    <x v="24"/>
    <x v="24"/>
    <x v="0"/>
    <n v="28"/>
    <x v="0"/>
    <x v="0"/>
    <n v="380000"/>
    <n v="5"/>
    <x v="0"/>
    <x v="0"/>
    <x v="0"/>
    <x v="0"/>
    <x v="24"/>
  </r>
  <r>
    <x v="25"/>
    <x v="25"/>
    <x v="1"/>
    <n v="29"/>
    <x v="1"/>
    <x v="1"/>
    <n v="430000"/>
    <n v="6"/>
    <x v="1"/>
    <x v="1"/>
    <x v="1"/>
    <x v="0"/>
    <x v="25"/>
  </r>
  <r>
    <x v="26"/>
    <x v="26"/>
    <x v="0"/>
    <n v="30"/>
    <x v="2"/>
    <x v="2"/>
    <n v="480000"/>
    <n v="7"/>
    <x v="2"/>
    <x v="2"/>
    <x v="2"/>
    <x v="1"/>
    <x v="26"/>
  </r>
  <r>
    <x v="27"/>
    <x v="27"/>
    <x v="1"/>
    <n v="31"/>
    <x v="3"/>
    <x v="3"/>
    <n v="530000"/>
    <n v="8"/>
    <x v="0"/>
    <x v="3"/>
    <x v="3"/>
    <x v="2"/>
    <x v="27"/>
  </r>
  <r>
    <x v="28"/>
    <x v="28"/>
    <x v="0"/>
    <n v="32"/>
    <x v="4"/>
    <x v="4"/>
    <n v="580000"/>
    <n v="9"/>
    <x v="1"/>
    <x v="0"/>
    <x v="4"/>
    <x v="0"/>
    <x v="28"/>
  </r>
  <r>
    <x v="29"/>
    <x v="29"/>
    <x v="1"/>
    <n v="33"/>
    <x v="5"/>
    <x v="5"/>
    <n v="630000"/>
    <n v="10"/>
    <x v="2"/>
    <x v="1"/>
    <x v="5"/>
    <x v="0"/>
    <x v="29"/>
  </r>
  <r>
    <x v="30"/>
    <x v="30"/>
    <x v="0"/>
    <n v="34"/>
    <x v="0"/>
    <x v="0"/>
    <n v="180000"/>
    <n v="1"/>
    <x v="0"/>
    <x v="2"/>
    <x v="0"/>
    <x v="1"/>
    <x v="30"/>
  </r>
  <r>
    <x v="31"/>
    <x v="31"/>
    <x v="1"/>
    <n v="35"/>
    <x v="1"/>
    <x v="1"/>
    <n v="230000"/>
    <n v="2"/>
    <x v="1"/>
    <x v="3"/>
    <x v="1"/>
    <x v="2"/>
    <x v="31"/>
  </r>
  <r>
    <x v="32"/>
    <x v="32"/>
    <x v="0"/>
    <n v="36"/>
    <x v="2"/>
    <x v="2"/>
    <n v="280000"/>
    <n v="3"/>
    <x v="2"/>
    <x v="0"/>
    <x v="2"/>
    <x v="0"/>
    <x v="32"/>
  </r>
  <r>
    <x v="33"/>
    <x v="33"/>
    <x v="1"/>
    <n v="37"/>
    <x v="3"/>
    <x v="3"/>
    <n v="330000"/>
    <n v="4"/>
    <x v="0"/>
    <x v="1"/>
    <x v="3"/>
    <x v="0"/>
    <x v="33"/>
  </r>
  <r>
    <x v="34"/>
    <x v="34"/>
    <x v="0"/>
    <n v="38"/>
    <x v="4"/>
    <x v="4"/>
    <n v="380000"/>
    <n v="5"/>
    <x v="1"/>
    <x v="2"/>
    <x v="4"/>
    <x v="1"/>
    <x v="34"/>
  </r>
  <r>
    <x v="35"/>
    <x v="35"/>
    <x v="1"/>
    <n v="39"/>
    <x v="5"/>
    <x v="5"/>
    <n v="430000"/>
    <n v="6"/>
    <x v="2"/>
    <x v="3"/>
    <x v="5"/>
    <x v="2"/>
    <x v="35"/>
  </r>
  <r>
    <x v="36"/>
    <x v="36"/>
    <x v="0"/>
    <n v="40"/>
    <x v="0"/>
    <x v="0"/>
    <n v="480000"/>
    <n v="7"/>
    <x v="0"/>
    <x v="0"/>
    <x v="0"/>
    <x v="0"/>
    <x v="36"/>
  </r>
  <r>
    <x v="37"/>
    <x v="37"/>
    <x v="1"/>
    <n v="22"/>
    <x v="1"/>
    <x v="1"/>
    <n v="530000"/>
    <n v="8"/>
    <x v="1"/>
    <x v="1"/>
    <x v="1"/>
    <x v="0"/>
    <x v="37"/>
  </r>
  <r>
    <x v="38"/>
    <x v="38"/>
    <x v="0"/>
    <n v="23"/>
    <x v="2"/>
    <x v="2"/>
    <n v="580000"/>
    <n v="9"/>
    <x v="2"/>
    <x v="2"/>
    <x v="2"/>
    <x v="1"/>
    <x v="38"/>
  </r>
  <r>
    <x v="39"/>
    <x v="39"/>
    <x v="1"/>
    <n v="24"/>
    <x v="3"/>
    <x v="3"/>
    <n v="630000"/>
    <n v="10"/>
    <x v="0"/>
    <x v="3"/>
    <x v="3"/>
    <x v="2"/>
    <x v="39"/>
  </r>
  <r>
    <x v="40"/>
    <x v="40"/>
    <x v="0"/>
    <n v="25"/>
    <x v="4"/>
    <x v="4"/>
    <n v="180000"/>
    <n v="1"/>
    <x v="1"/>
    <x v="0"/>
    <x v="4"/>
    <x v="0"/>
    <x v="40"/>
  </r>
  <r>
    <x v="41"/>
    <x v="41"/>
    <x v="1"/>
    <n v="26"/>
    <x v="5"/>
    <x v="5"/>
    <n v="230000"/>
    <n v="2"/>
    <x v="2"/>
    <x v="1"/>
    <x v="5"/>
    <x v="0"/>
    <x v="41"/>
  </r>
  <r>
    <x v="42"/>
    <x v="42"/>
    <x v="0"/>
    <n v="27"/>
    <x v="0"/>
    <x v="0"/>
    <n v="280000"/>
    <n v="3"/>
    <x v="0"/>
    <x v="2"/>
    <x v="0"/>
    <x v="1"/>
    <x v="42"/>
  </r>
  <r>
    <x v="43"/>
    <x v="43"/>
    <x v="1"/>
    <n v="28"/>
    <x v="1"/>
    <x v="1"/>
    <n v="330000"/>
    <n v="4"/>
    <x v="1"/>
    <x v="3"/>
    <x v="1"/>
    <x v="2"/>
    <x v="43"/>
  </r>
  <r>
    <x v="44"/>
    <x v="44"/>
    <x v="0"/>
    <n v="29"/>
    <x v="2"/>
    <x v="2"/>
    <n v="380000"/>
    <n v="5"/>
    <x v="2"/>
    <x v="0"/>
    <x v="2"/>
    <x v="0"/>
    <x v="44"/>
  </r>
  <r>
    <x v="45"/>
    <x v="45"/>
    <x v="1"/>
    <n v="30"/>
    <x v="3"/>
    <x v="3"/>
    <n v="430000"/>
    <n v="6"/>
    <x v="0"/>
    <x v="1"/>
    <x v="3"/>
    <x v="0"/>
    <x v="45"/>
  </r>
  <r>
    <x v="46"/>
    <x v="46"/>
    <x v="0"/>
    <n v="31"/>
    <x v="4"/>
    <x v="4"/>
    <n v="480000"/>
    <n v="7"/>
    <x v="1"/>
    <x v="2"/>
    <x v="4"/>
    <x v="1"/>
    <x v="46"/>
  </r>
  <r>
    <x v="47"/>
    <x v="47"/>
    <x v="1"/>
    <n v="32"/>
    <x v="5"/>
    <x v="5"/>
    <n v="530000"/>
    <n v="8"/>
    <x v="2"/>
    <x v="3"/>
    <x v="5"/>
    <x v="2"/>
    <x v="47"/>
  </r>
  <r>
    <x v="48"/>
    <x v="48"/>
    <x v="0"/>
    <n v="33"/>
    <x v="0"/>
    <x v="0"/>
    <n v="580000"/>
    <n v="9"/>
    <x v="0"/>
    <x v="0"/>
    <x v="0"/>
    <x v="0"/>
    <x v="48"/>
  </r>
  <r>
    <x v="49"/>
    <x v="49"/>
    <x v="1"/>
    <n v="34"/>
    <x v="1"/>
    <x v="1"/>
    <n v="630000"/>
    <n v="10"/>
    <x v="1"/>
    <x v="1"/>
    <x v="1"/>
    <x v="0"/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DE4F4-B900-4604-83EF-CA8B98B0D038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erformance_Rating" fld="8" subtotal="average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A0A70-4F79-4AD3-8FDD-CFFF3A906A6F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20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7">
        <item x="2"/>
        <item x="1"/>
        <item x="0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1"/>
    </i>
    <i>
      <x v="5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Salar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01A2A-C104-4D00-8015-7AD06EF25424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3"/>
        <item x="5"/>
        <item x="0"/>
        <item x="4"/>
        <item x="2"/>
        <item t="default"/>
      </items>
    </pivotField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ity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A2C70-156B-4657-9EE0-AE4B9B29C899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13">
    <pivotField showAll="0"/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F79AB-610B-47B0-BE5D-DB0DD6C26EE4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showAll="0"/>
    <pivotField axis="axisRow" dataField="1" showAll="0">
      <items count="7">
        <item x="2"/>
        <item x="1"/>
        <item x="0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5A574-462C-4AC3-918B-B32EB71AD3DB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356" firstHeaderRow="0" firstDataRow="1" firstDataCol="1"/>
  <pivotFields count="13">
    <pivotField dataField="1" showAll="0"/>
    <pivotField axis="axisRow"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7">
        <item x="2"/>
        <item x="1"/>
        <item x="0"/>
        <item x="4"/>
        <item x="5"/>
        <item x="3"/>
        <item t="default"/>
      </items>
    </pivotField>
    <pivotField axis="axisRow" showAll="0">
      <items count="7">
        <item x="2"/>
        <item x="0"/>
        <item x="1"/>
        <item x="4"/>
        <item x="5"/>
        <item x="3"/>
        <item t="default"/>
      </items>
    </pivotField>
    <pivotField dataField="1" showAll="0"/>
    <pivotField dataField="1" showAll="0"/>
    <pivotField dataField="1" showAll="0"/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7">
        <item x="1"/>
        <item x="3"/>
        <item x="5"/>
        <item x="0"/>
        <item x="4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51">
        <item x="0"/>
        <item x="28"/>
        <item x="1"/>
        <item x="29"/>
        <item x="2"/>
        <item x="30"/>
        <item x="3"/>
        <item x="31"/>
        <item x="4"/>
        <item x="32"/>
        <item x="5"/>
        <item x="33"/>
        <item x="6"/>
        <item x="34"/>
        <item x="7"/>
        <item x="35"/>
        <item x="36"/>
        <item x="8"/>
        <item x="37"/>
        <item x="9"/>
        <item x="38"/>
        <item x="10"/>
        <item x="39"/>
        <item x="11"/>
        <item x="12"/>
        <item x="40"/>
        <item x="13"/>
        <item x="41"/>
        <item x="14"/>
        <item x="42"/>
        <item x="15"/>
        <item x="43"/>
        <item x="16"/>
        <item x="44"/>
        <item x="17"/>
        <item x="45"/>
        <item x="18"/>
        <item x="46"/>
        <item x="19"/>
        <item x="47"/>
        <item x="48"/>
        <item x="20"/>
        <item x="49"/>
        <item x="21"/>
        <item x="22"/>
        <item x="23"/>
        <item x="24"/>
        <item x="25"/>
        <item x="26"/>
        <item x="27"/>
        <item t="default"/>
      </items>
    </pivotField>
  </pivotFields>
  <rowFields count="8">
    <field x="2"/>
    <field x="1"/>
    <field x="4"/>
    <field x="5"/>
    <field x="9"/>
    <field x="11"/>
    <field x="10"/>
    <field x="12"/>
  </rowFields>
  <rowItems count="353">
    <i>
      <x/>
    </i>
    <i r="1">
      <x v="1"/>
    </i>
    <i r="2">
      <x v="5"/>
    </i>
    <i r="3">
      <x v="5"/>
    </i>
    <i r="4">
      <x v="2"/>
    </i>
    <i r="5">
      <x/>
    </i>
    <i r="6">
      <x v="1"/>
    </i>
    <i r="7">
      <x v="19"/>
    </i>
    <i r="1">
      <x v="3"/>
    </i>
    <i r="2">
      <x v="4"/>
    </i>
    <i r="3">
      <x v="4"/>
    </i>
    <i r="4">
      <x/>
    </i>
    <i r="5">
      <x v="2"/>
    </i>
    <i r="6">
      <x v="2"/>
    </i>
    <i r="7">
      <x v="23"/>
    </i>
    <i r="1">
      <x v="5"/>
    </i>
    <i r="2">
      <x v="1"/>
    </i>
    <i r="3">
      <x v="2"/>
    </i>
    <i r="4">
      <x v="2"/>
    </i>
    <i r="5">
      <x/>
    </i>
    <i r="6">
      <x/>
    </i>
    <i r="7">
      <x v="26"/>
    </i>
    <i r="1">
      <x v="7"/>
    </i>
    <i r="2">
      <x v="5"/>
    </i>
    <i r="3">
      <x v="5"/>
    </i>
    <i r="4">
      <x/>
    </i>
    <i r="5">
      <x v="2"/>
    </i>
    <i r="6">
      <x v="1"/>
    </i>
    <i r="7">
      <x v="30"/>
    </i>
    <i r="1">
      <x v="9"/>
    </i>
    <i r="2">
      <x v="4"/>
    </i>
    <i r="3">
      <x v="4"/>
    </i>
    <i r="4">
      <x v="2"/>
    </i>
    <i r="5">
      <x/>
    </i>
    <i r="6">
      <x v="2"/>
    </i>
    <i r="7">
      <x v="34"/>
    </i>
    <i r="1">
      <x v="11"/>
    </i>
    <i r="2">
      <x v="1"/>
    </i>
    <i r="3">
      <x v="2"/>
    </i>
    <i r="4">
      <x v="2"/>
    </i>
    <i r="5">
      <x/>
    </i>
    <i r="6">
      <x/>
    </i>
    <i r="7">
      <x v="2"/>
    </i>
    <i r="1">
      <x v="12"/>
    </i>
    <i r="2">
      <x v="1"/>
    </i>
    <i r="3">
      <x v="2"/>
    </i>
    <i r="4">
      <x/>
    </i>
    <i r="5">
      <x v="2"/>
    </i>
    <i r="6">
      <x/>
    </i>
    <i r="7">
      <x v="38"/>
    </i>
    <i r="1">
      <x v="14"/>
    </i>
    <i r="2">
      <x v="5"/>
    </i>
    <i r="3">
      <x v="5"/>
    </i>
    <i r="4">
      <x v="2"/>
    </i>
    <i r="5">
      <x/>
    </i>
    <i r="6">
      <x v="1"/>
    </i>
    <i r="7">
      <x v="43"/>
    </i>
    <i r="1">
      <x v="16"/>
    </i>
    <i r="2">
      <x v="4"/>
    </i>
    <i r="3">
      <x v="4"/>
    </i>
    <i r="4">
      <x/>
    </i>
    <i r="5">
      <x v="2"/>
    </i>
    <i r="6">
      <x v="2"/>
    </i>
    <i r="7">
      <x v="45"/>
    </i>
    <i r="1">
      <x v="18"/>
    </i>
    <i r="2">
      <x v="1"/>
    </i>
    <i r="3">
      <x v="2"/>
    </i>
    <i r="4">
      <x v="2"/>
    </i>
    <i r="5">
      <x/>
    </i>
    <i r="6">
      <x/>
    </i>
    <i r="7">
      <x v="47"/>
    </i>
    <i r="1">
      <x v="20"/>
    </i>
    <i r="2">
      <x v="5"/>
    </i>
    <i r="3">
      <x v="5"/>
    </i>
    <i r="4">
      <x/>
    </i>
    <i r="5">
      <x v="2"/>
    </i>
    <i r="6">
      <x v="1"/>
    </i>
    <i r="7">
      <x v="49"/>
    </i>
    <i r="1">
      <x v="23"/>
    </i>
    <i r="2">
      <x v="4"/>
    </i>
    <i r="3">
      <x v="4"/>
    </i>
    <i r="4">
      <x v="2"/>
    </i>
    <i r="5">
      <x/>
    </i>
    <i r="6">
      <x v="2"/>
    </i>
    <i r="7">
      <x v="3"/>
    </i>
    <i r="1">
      <x v="25"/>
    </i>
    <i r="2">
      <x v="1"/>
    </i>
    <i r="3">
      <x v="2"/>
    </i>
    <i r="4">
      <x/>
    </i>
    <i r="5">
      <x v="2"/>
    </i>
    <i r="6">
      <x/>
    </i>
    <i r="7">
      <x v="7"/>
    </i>
    <i r="1">
      <x v="27"/>
    </i>
    <i r="2">
      <x v="5"/>
    </i>
    <i r="3">
      <x v="5"/>
    </i>
    <i r="4">
      <x v="2"/>
    </i>
    <i r="5">
      <x/>
    </i>
    <i r="6">
      <x v="1"/>
    </i>
    <i r="7">
      <x v="11"/>
    </i>
    <i r="1">
      <x v="29"/>
    </i>
    <i r="2">
      <x v="4"/>
    </i>
    <i r="3">
      <x v="4"/>
    </i>
    <i r="4">
      <x/>
    </i>
    <i r="5">
      <x v="2"/>
    </i>
    <i r="6">
      <x v="2"/>
    </i>
    <i r="7">
      <x v="15"/>
    </i>
    <i r="1">
      <x v="31"/>
    </i>
    <i r="2">
      <x v="1"/>
    </i>
    <i r="3">
      <x v="2"/>
    </i>
    <i r="4">
      <x v="2"/>
    </i>
    <i r="5">
      <x/>
    </i>
    <i r="6">
      <x/>
    </i>
    <i r="7">
      <x v="18"/>
    </i>
    <i r="1">
      <x v="33"/>
    </i>
    <i r="2">
      <x v="5"/>
    </i>
    <i r="3">
      <x v="5"/>
    </i>
    <i r="4">
      <x/>
    </i>
    <i r="5">
      <x v="2"/>
    </i>
    <i r="6">
      <x v="1"/>
    </i>
    <i r="7">
      <x v="6"/>
    </i>
    <i r="1">
      <x v="34"/>
    </i>
    <i r="2">
      <x v="5"/>
    </i>
    <i r="3">
      <x v="5"/>
    </i>
    <i r="4">
      <x/>
    </i>
    <i r="5">
      <x v="2"/>
    </i>
    <i r="6">
      <x v="1"/>
    </i>
    <i r="7">
      <x v="22"/>
    </i>
    <i r="1">
      <x v="36"/>
    </i>
    <i r="2">
      <x v="4"/>
    </i>
    <i r="3">
      <x v="4"/>
    </i>
    <i r="4">
      <x v="2"/>
    </i>
    <i r="5">
      <x/>
    </i>
    <i r="6">
      <x v="2"/>
    </i>
    <i r="7">
      <x v="27"/>
    </i>
    <i r="1">
      <x v="38"/>
    </i>
    <i r="2">
      <x v="1"/>
    </i>
    <i r="3">
      <x v="2"/>
    </i>
    <i r="4">
      <x/>
    </i>
    <i r="5">
      <x v="2"/>
    </i>
    <i r="6">
      <x/>
    </i>
    <i r="7">
      <x v="31"/>
    </i>
    <i r="1">
      <x v="40"/>
    </i>
    <i r="2">
      <x v="5"/>
    </i>
    <i r="3">
      <x v="5"/>
    </i>
    <i r="4">
      <x v="2"/>
    </i>
    <i r="5">
      <x/>
    </i>
    <i r="6">
      <x v="1"/>
    </i>
    <i r="7">
      <x v="35"/>
    </i>
    <i r="1">
      <x v="42"/>
    </i>
    <i r="2">
      <x v="4"/>
    </i>
    <i r="3">
      <x v="4"/>
    </i>
    <i r="4">
      <x/>
    </i>
    <i r="5">
      <x v="2"/>
    </i>
    <i r="6">
      <x v="2"/>
    </i>
    <i r="7">
      <x v="39"/>
    </i>
    <i r="1">
      <x v="45"/>
    </i>
    <i r="2">
      <x v="1"/>
    </i>
    <i r="3">
      <x v="2"/>
    </i>
    <i r="4">
      <x v="2"/>
    </i>
    <i r="5">
      <x/>
    </i>
    <i r="6">
      <x/>
    </i>
    <i r="7">
      <x v="42"/>
    </i>
    <i r="1">
      <x v="46"/>
    </i>
    <i r="2">
      <x v="4"/>
    </i>
    <i r="3">
      <x v="4"/>
    </i>
    <i r="4">
      <x v="2"/>
    </i>
    <i r="5">
      <x/>
    </i>
    <i r="6">
      <x v="2"/>
    </i>
    <i r="7">
      <x v="10"/>
    </i>
    <i r="1">
      <x v="48"/>
    </i>
    <i r="2">
      <x v="1"/>
    </i>
    <i r="3">
      <x v="2"/>
    </i>
    <i r="4">
      <x/>
    </i>
    <i r="5">
      <x v="2"/>
    </i>
    <i r="6">
      <x/>
    </i>
    <i r="7">
      <x v="14"/>
    </i>
    <i>
      <x v="1"/>
    </i>
    <i r="1">
      <x/>
    </i>
    <i r="2">
      <x v="2"/>
    </i>
    <i r="3">
      <x v="1"/>
    </i>
    <i r="4">
      <x v="1"/>
    </i>
    <i r="5">
      <x/>
    </i>
    <i r="6">
      <x v="3"/>
    </i>
    <i r="7">
      <x/>
    </i>
    <i r="1">
      <x v="2"/>
    </i>
    <i r="2">
      <x v="3"/>
    </i>
    <i r="3">
      <x v="3"/>
    </i>
    <i r="4">
      <x v="3"/>
    </i>
    <i r="5">
      <x v="1"/>
    </i>
    <i r="6">
      <x v="4"/>
    </i>
    <i r="7">
      <x v="21"/>
    </i>
    <i r="1">
      <x v="4"/>
    </i>
    <i r="2">
      <x v="2"/>
    </i>
    <i r="3">
      <x v="1"/>
    </i>
    <i r="4">
      <x v="1"/>
    </i>
    <i r="5">
      <x/>
    </i>
    <i r="6">
      <x v="3"/>
    </i>
    <i r="7">
      <x v="24"/>
    </i>
    <i r="1">
      <x v="6"/>
    </i>
    <i r="2">
      <x/>
    </i>
    <i r="3">
      <x/>
    </i>
    <i r="4">
      <x v="3"/>
    </i>
    <i r="5">
      <x v="1"/>
    </i>
    <i r="6">
      <x v="5"/>
    </i>
    <i r="7">
      <x v="28"/>
    </i>
    <i r="1">
      <x v="8"/>
    </i>
    <i r="2">
      <x v="3"/>
    </i>
    <i r="3">
      <x v="3"/>
    </i>
    <i r="4">
      <x v="1"/>
    </i>
    <i r="5">
      <x/>
    </i>
    <i r="6">
      <x v="4"/>
    </i>
    <i r="7">
      <x v="32"/>
    </i>
    <i r="1">
      <x v="10"/>
    </i>
    <i r="2">
      <x v="2"/>
    </i>
    <i r="3">
      <x v="1"/>
    </i>
    <i r="4">
      <x v="3"/>
    </i>
    <i r="5">
      <x v="1"/>
    </i>
    <i r="6">
      <x v="3"/>
    </i>
    <i r="7">
      <x v="36"/>
    </i>
    <i r="1">
      <x v="13"/>
    </i>
    <i r="2">
      <x/>
    </i>
    <i r="3">
      <x/>
    </i>
    <i r="4">
      <x v="1"/>
    </i>
    <i r="5">
      <x/>
    </i>
    <i r="6">
      <x v="5"/>
    </i>
    <i r="7">
      <x v="41"/>
    </i>
    <i r="1">
      <x v="15"/>
    </i>
    <i r="2">
      <x v="3"/>
    </i>
    <i r="3">
      <x v="3"/>
    </i>
    <i r="4">
      <x v="3"/>
    </i>
    <i r="5">
      <x v="1"/>
    </i>
    <i r="6">
      <x v="4"/>
    </i>
    <i r="7">
      <x v="44"/>
    </i>
    <i r="1">
      <x v="17"/>
    </i>
    <i r="2">
      <x v="2"/>
    </i>
    <i r="3">
      <x v="1"/>
    </i>
    <i r="4">
      <x v="1"/>
    </i>
    <i r="5">
      <x/>
    </i>
    <i r="6">
      <x v="3"/>
    </i>
    <i r="7">
      <x v="46"/>
    </i>
    <i r="1">
      <x v="19"/>
    </i>
    <i r="2">
      <x/>
    </i>
    <i r="3">
      <x/>
    </i>
    <i r="4">
      <x v="3"/>
    </i>
    <i r="5">
      <x v="1"/>
    </i>
    <i r="6">
      <x v="5"/>
    </i>
    <i r="7">
      <x v="48"/>
    </i>
    <i r="1">
      <x v="21"/>
    </i>
    <i r="2">
      <x v="3"/>
    </i>
    <i r="3">
      <x v="3"/>
    </i>
    <i r="4">
      <x v="1"/>
    </i>
    <i r="5">
      <x/>
    </i>
    <i r="6">
      <x v="4"/>
    </i>
    <i r="7">
      <x v="1"/>
    </i>
    <i r="1">
      <x v="22"/>
    </i>
    <i r="2">
      <x/>
    </i>
    <i r="3">
      <x/>
    </i>
    <i r="4">
      <x v="3"/>
    </i>
    <i r="5">
      <x v="1"/>
    </i>
    <i r="6">
      <x v="5"/>
    </i>
    <i r="7">
      <x v="4"/>
    </i>
    <i r="1">
      <x v="24"/>
    </i>
    <i r="2">
      <x v="2"/>
    </i>
    <i r="3">
      <x v="1"/>
    </i>
    <i r="4">
      <x v="3"/>
    </i>
    <i r="5">
      <x v="1"/>
    </i>
    <i r="6">
      <x v="3"/>
    </i>
    <i r="7">
      <x v="5"/>
    </i>
    <i r="1">
      <x v="26"/>
    </i>
    <i r="2">
      <x/>
    </i>
    <i r="3">
      <x/>
    </i>
    <i r="4">
      <x v="1"/>
    </i>
    <i r="5">
      <x/>
    </i>
    <i r="6">
      <x v="5"/>
    </i>
    <i r="7">
      <x v="9"/>
    </i>
    <i r="1">
      <x v="28"/>
    </i>
    <i r="2">
      <x v="3"/>
    </i>
    <i r="3">
      <x v="3"/>
    </i>
    <i r="4">
      <x v="3"/>
    </i>
    <i r="5">
      <x v="1"/>
    </i>
    <i r="6">
      <x v="4"/>
    </i>
    <i r="7">
      <x v="13"/>
    </i>
    <i r="1">
      <x v="30"/>
    </i>
    <i r="2">
      <x v="2"/>
    </i>
    <i r="3">
      <x v="1"/>
    </i>
    <i r="4">
      <x v="1"/>
    </i>
    <i r="5">
      <x/>
    </i>
    <i r="6">
      <x v="3"/>
    </i>
    <i r="7">
      <x v="16"/>
    </i>
    <i r="1">
      <x v="32"/>
    </i>
    <i r="2">
      <x/>
    </i>
    <i r="3">
      <x/>
    </i>
    <i r="4">
      <x v="3"/>
    </i>
    <i r="5">
      <x v="1"/>
    </i>
    <i r="6">
      <x v="5"/>
    </i>
    <i r="7">
      <x v="20"/>
    </i>
    <i r="1">
      <x v="35"/>
    </i>
    <i r="2">
      <x v="3"/>
    </i>
    <i r="3">
      <x v="3"/>
    </i>
    <i r="4">
      <x v="1"/>
    </i>
    <i r="5">
      <x/>
    </i>
    <i r="6">
      <x v="4"/>
    </i>
    <i r="7">
      <x v="25"/>
    </i>
    <i r="1">
      <x v="37"/>
    </i>
    <i r="2">
      <x v="2"/>
    </i>
    <i r="3">
      <x v="1"/>
    </i>
    <i r="4">
      <x v="3"/>
    </i>
    <i r="5">
      <x v="1"/>
    </i>
    <i r="6">
      <x v="3"/>
    </i>
    <i r="7">
      <x v="29"/>
    </i>
    <i r="1">
      <x v="39"/>
    </i>
    <i r="2">
      <x/>
    </i>
    <i r="3">
      <x/>
    </i>
    <i r="4">
      <x v="1"/>
    </i>
    <i r="5">
      <x/>
    </i>
    <i r="6">
      <x v="5"/>
    </i>
    <i r="7">
      <x v="33"/>
    </i>
    <i r="1">
      <x v="41"/>
    </i>
    <i r="2">
      <x v="3"/>
    </i>
    <i r="3">
      <x v="3"/>
    </i>
    <i r="4">
      <x v="3"/>
    </i>
    <i r="5">
      <x v="1"/>
    </i>
    <i r="6">
      <x v="4"/>
    </i>
    <i r="7">
      <x v="37"/>
    </i>
    <i r="1">
      <x v="43"/>
    </i>
    <i r="2">
      <x v="2"/>
    </i>
    <i r="3">
      <x v="1"/>
    </i>
    <i r="4">
      <x v="1"/>
    </i>
    <i r="5">
      <x/>
    </i>
    <i r="6">
      <x v="3"/>
    </i>
    <i r="7">
      <x v="40"/>
    </i>
    <i r="1">
      <x v="44"/>
    </i>
    <i r="2">
      <x v="3"/>
    </i>
    <i r="3">
      <x v="3"/>
    </i>
    <i r="4">
      <x v="1"/>
    </i>
    <i r="5">
      <x/>
    </i>
    <i r="6">
      <x v="4"/>
    </i>
    <i r="7">
      <x v="8"/>
    </i>
    <i r="1">
      <x v="47"/>
    </i>
    <i r="2">
      <x v="2"/>
    </i>
    <i r="3">
      <x v="1"/>
    </i>
    <i r="4">
      <x v="3"/>
    </i>
    <i r="5">
      <x v="1"/>
    </i>
    <i r="6">
      <x v="3"/>
    </i>
    <i r="7">
      <x v="12"/>
    </i>
    <i r="1">
      <x v="49"/>
    </i>
    <i r="2">
      <x/>
    </i>
    <i r="3">
      <x/>
    </i>
    <i r="4">
      <x v="1"/>
    </i>
    <i r="5">
      <x/>
    </i>
    <i r="6">
      <x v="5"/>
    </i>
    <i r="7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mployee_ID" fld="0" baseField="0" baseItem="0"/>
    <dataField name="Sum of Age" fld="3" baseField="0" baseItem="0"/>
    <dataField name="Sum of Salary" fld="6" baseField="0" baseItem="0"/>
    <dataField name="Sum of Experience_Years" fld="7" baseField="0" baseItem="0"/>
    <dataField name="Sum of Performance_Rating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95D1-DBCB-4AC7-961F-C93316D0D679}">
  <dimension ref="A3:I21"/>
  <sheetViews>
    <sheetView topLeftCell="A5" workbookViewId="0">
      <selection activeCell="C21" sqref="C21"/>
    </sheetView>
  </sheetViews>
  <sheetFormatPr defaultRowHeight="15" x14ac:dyDescent="0.25"/>
  <cols>
    <col min="1" max="1" width="29.7109375" bestFit="1" customWidth="1"/>
    <col min="2" max="2" width="26.140625" bestFit="1" customWidth="1"/>
    <col min="3" max="3" width="3.42578125" bestFit="1" customWidth="1"/>
    <col min="4" max="4" width="2.5703125" bestFit="1" customWidth="1"/>
    <col min="5" max="5" width="13.140625" bestFit="1" customWidth="1"/>
    <col min="6" max="6" width="15.85546875" bestFit="1" customWidth="1"/>
    <col min="7" max="7" width="5.5703125" bestFit="1" customWidth="1"/>
    <col min="8" max="8" width="13.140625" bestFit="1" customWidth="1"/>
    <col min="9" max="9" width="12.42578125" bestFit="1" customWidth="1"/>
    <col min="11" max="11" width="13.140625" bestFit="1" customWidth="1"/>
    <col min="12" max="12" width="12.85546875" bestFit="1" customWidth="1"/>
  </cols>
  <sheetData>
    <row r="3" spans="1:9" x14ac:dyDescent="0.25">
      <c r="A3" s="5" t="s">
        <v>150</v>
      </c>
      <c r="B3" t="s">
        <v>152</v>
      </c>
      <c r="E3" s="5" t="s">
        <v>150</v>
      </c>
      <c r="F3" t="s">
        <v>153</v>
      </c>
      <c r="H3" s="5" t="s">
        <v>150</v>
      </c>
      <c r="I3" t="s">
        <v>154</v>
      </c>
    </row>
    <row r="4" spans="1:9" x14ac:dyDescent="0.25">
      <c r="A4" s="4" t="s">
        <v>29</v>
      </c>
      <c r="B4" s="6">
        <v>8</v>
      </c>
      <c r="E4" s="4" t="s">
        <v>22</v>
      </c>
      <c r="F4" s="6">
        <v>25</v>
      </c>
      <c r="H4" s="4" t="s">
        <v>26</v>
      </c>
      <c r="I4" s="6">
        <v>9</v>
      </c>
    </row>
    <row r="5" spans="1:9" x14ac:dyDescent="0.25">
      <c r="A5" s="4" t="s">
        <v>23</v>
      </c>
      <c r="B5" s="6">
        <v>9</v>
      </c>
      <c r="E5" s="4" t="s">
        <v>14</v>
      </c>
      <c r="F5" s="6">
        <v>25</v>
      </c>
      <c r="H5" s="4" t="s">
        <v>39</v>
      </c>
      <c r="I5" s="6">
        <v>8</v>
      </c>
    </row>
    <row r="6" spans="1:9" x14ac:dyDescent="0.25">
      <c r="A6" s="4" t="s">
        <v>15</v>
      </c>
      <c r="B6" s="6">
        <v>9</v>
      </c>
      <c r="E6" s="4" t="s">
        <v>151</v>
      </c>
      <c r="F6" s="6">
        <v>50</v>
      </c>
      <c r="H6" s="4" t="s">
        <v>50</v>
      </c>
      <c r="I6" s="6">
        <v>8</v>
      </c>
    </row>
    <row r="7" spans="1:9" x14ac:dyDescent="0.25">
      <c r="A7" s="4" t="s">
        <v>43</v>
      </c>
      <c r="B7" s="6">
        <v>8</v>
      </c>
      <c r="H7" s="4" t="s">
        <v>18</v>
      </c>
      <c r="I7" s="6">
        <v>9</v>
      </c>
    </row>
    <row r="8" spans="1:9" x14ac:dyDescent="0.25">
      <c r="A8" s="4" t="s">
        <v>48</v>
      </c>
      <c r="B8" s="6">
        <v>8</v>
      </c>
      <c r="H8" s="4" t="s">
        <v>45</v>
      </c>
      <c r="I8" s="6">
        <v>8</v>
      </c>
    </row>
    <row r="9" spans="1:9" x14ac:dyDescent="0.25">
      <c r="A9" s="4" t="s">
        <v>36</v>
      </c>
      <c r="B9" s="6">
        <v>8</v>
      </c>
      <c r="H9" s="4" t="s">
        <v>32</v>
      </c>
      <c r="I9" s="6">
        <v>8</v>
      </c>
    </row>
    <row r="10" spans="1:9" x14ac:dyDescent="0.25">
      <c r="A10" s="4" t="s">
        <v>151</v>
      </c>
      <c r="B10" s="6">
        <v>50</v>
      </c>
      <c r="H10" s="4" t="s">
        <v>151</v>
      </c>
      <c r="I10" s="6">
        <v>50</v>
      </c>
    </row>
    <row r="13" spans="1:9" x14ac:dyDescent="0.25">
      <c r="A13" t="s">
        <v>157</v>
      </c>
      <c r="E13" s="5" t="s">
        <v>150</v>
      </c>
      <c r="F13" t="s">
        <v>155</v>
      </c>
    </row>
    <row r="14" spans="1:9" x14ac:dyDescent="0.25">
      <c r="A14" s="7">
        <v>3.98</v>
      </c>
      <c r="E14" s="4" t="s">
        <v>23</v>
      </c>
      <c r="F14" s="6">
        <v>3870000</v>
      </c>
    </row>
    <row r="15" spans="1:9" x14ac:dyDescent="0.25">
      <c r="E15" s="4" t="s">
        <v>36</v>
      </c>
      <c r="F15" s="6">
        <v>3540000</v>
      </c>
    </row>
    <row r="16" spans="1:9" x14ac:dyDescent="0.25">
      <c r="E16" s="4" t="s">
        <v>15</v>
      </c>
      <c r="F16" s="6">
        <v>3420000</v>
      </c>
    </row>
    <row r="17" spans="1:6" x14ac:dyDescent="0.25">
      <c r="A17" s="4" t="s">
        <v>149</v>
      </c>
      <c r="E17" s="4" t="s">
        <v>48</v>
      </c>
      <c r="F17" s="6">
        <v>3340000</v>
      </c>
    </row>
    <row r="18" spans="1:6" x14ac:dyDescent="0.25">
      <c r="A18" s="4" t="s">
        <v>143</v>
      </c>
      <c r="E18" s="4" t="s">
        <v>29</v>
      </c>
      <c r="F18" s="6">
        <v>3140000</v>
      </c>
    </row>
    <row r="19" spans="1:6" x14ac:dyDescent="0.25">
      <c r="A19" s="4" t="s">
        <v>144</v>
      </c>
      <c r="E19" s="4" t="s">
        <v>43</v>
      </c>
      <c r="F19" s="6">
        <v>2940000</v>
      </c>
    </row>
    <row r="20" spans="1:6" x14ac:dyDescent="0.25">
      <c r="A20" s="4" t="s">
        <v>145</v>
      </c>
      <c r="E20" s="4" t="s">
        <v>151</v>
      </c>
      <c r="F20" s="6">
        <v>20250000</v>
      </c>
    </row>
    <row r="21" spans="1:6" x14ac:dyDescent="0.25">
      <c r="A21" s="4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F5C-A431-4961-84D4-FD8E900F592E}">
  <dimension ref="A3:F356"/>
  <sheetViews>
    <sheetView tabSelected="1" topLeftCell="A337" workbookViewId="0">
      <selection activeCell="A3" sqref="A3"/>
    </sheetView>
  </sheetViews>
  <sheetFormatPr defaultRowHeight="15" x14ac:dyDescent="0.25"/>
  <cols>
    <col min="1" max="1" width="26" bestFit="1" customWidth="1"/>
    <col min="2" max="2" width="19.5703125" bestFit="1" customWidth="1"/>
    <col min="3" max="3" width="11" bestFit="1" customWidth="1"/>
    <col min="4" max="4" width="12.85546875" bestFit="1" customWidth="1"/>
    <col min="5" max="5" width="23.7109375" bestFit="1" customWidth="1"/>
    <col min="6" max="6" width="26.140625" bestFit="1" customWidth="1"/>
  </cols>
  <sheetData>
    <row r="3" spans="1:6" x14ac:dyDescent="0.25">
      <c r="A3" s="5" t="s">
        <v>150</v>
      </c>
      <c r="B3" t="s">
        <v>158</v>
      </c>
      <c r="C3" t="s">
        <v>159</v>
      </c>
      <c r="D3" t="s">
        <v>155</v>
      </c>
      <c r="E3" t="s">
        <v>160</v>
      </c>
      <c r="F3" t="s">
        <v>156</v>
      </c>
    </row>
    <row r="4" spans="1:6" x14ac:dyDescent="0.25">
      <c r="A4" s="4" t="s">
        <v>22</v>
      </c>
      <c r="B4" s="6">
        <v>50650</v>
      </c>
      <c r="C4" s="6">
        <v>763</v>
      </c>
      <c r="D4" s="6">
        <v>10750000</v>
      </c>
      <c r="E4" s="6">
        <v>150</v>
      </c>
      <c r="F4" s="6">
        <v>100</v>
      </c>
    </row>
    <row r="5" spans="1:6" x14ac:dyDescent="0.25">
      <c r="A5" s="8" t="s">
        <v>58</v>
      </c>
      <c r="B5" s="6">
        <v>2010</v>
      </c>
      <c r="C5" s="6">
        <v>32</v>
      </c>
      <c r="D5" s="6">
        <v>630000</v>
      </c>
      <c r="E5" s="6">
        <v>10</v>
      </c>
      <c r="F5" s="6">
        <v>3</v>
      </c>
    </row>
    <row r="6" spans="1:6" x14ac:dyDescent="0.25">
      <c r="A6" s="9" t="s">
        <v>36</v>
      </c>
      <c r="B6" s="6">
        <v>2010</v>
      </c>
      <c r="C6" s="6">
        <v>32</v>
      </c>
      <c r="D6" s="6">
        <v>630000</v>
      </c>
      <c r="E6" s="6">
        <v>10</v>
      </c>
      <c r="F6" s="6">
        <v>3</v>
      </c>
    </row>
    <row r="7" spans="1:6" x14ac:dyDescent="0.25">
      <c r="A7" s="10" t="s">
        <v>37</v>
      </c>
      <c r="B7" s="6">
        <v>2010</v>
      </c>
      <c r="C7" s="6">
        <v>32</v>
      </c>
      <c r="D7" s="6">
        <v>630000</v>
      </c>
      <c r="E7" s="6">
        <v>10</v>
      </c>
      <c r="F7" s="6">
        <v>3</v>
      </c>
    </row>
    <row r="8" spans="1:6" x14ac:dyDescent="0.25">
      <c r="A8" s="11" t="s">
        <v>25</v>
      </c>
      <c r="B8" s="6">
        <v>2010</v>
      </c>
      <c r="C8" s="6">
        <v>32</v>
      </c>
      <c r="D8" s="6">
        <v>630000</v>
      </c>
      <c r="E8" s="6">
        <v>10</v>
      </c>
      <c r="F8" s="6">
        <v>3</v>
      </c>
    </row>
    <row r="9" spans="1:6" x14ac:dyDescent="0.25">
      <c r="A9" s="12" t="s">
        <v>19</v>
      </c>
      <c r="B9" s="6">
        <v>2010</v>
      </c>
      <c r="C9" s="6">
        <v>32</v>
      </c>
      <c r="D9" s="6">
        <v>630000</v>
      </c>
      <c r="E9" s="6">
        <v>10</v>
      </c>
      <c r="F9" s="6">
        <v>3</v>
      </c>
    </row>
    <row r="10" spans="1:6" x14ac:dyDescent="0.25">
      <c r="A10" s="13" t="s">
        <v>39</v>
      </c>
      <c r="B10" s="6">
        <v>2010</v>
      </c>
      <c r="C10" s="6">
        <v>32</v>
      </c>
      <c r="D10" s="6">
        <v>630000</v>
      </c>
      <c r="E10" s="6">
        <v>10</v>
      </c>
      <c r="F10" s="6">
        <v>3</v>
      </c>
    </row>
    <row r="11" spans="1:6" x14ac:dyDescent="0.25">
      <c r="A11" s="14" t="s">
        <v>59</v>
      </c>
      <c r="B11" s="6">
        <v>2010</v>
      </c>
      <c r="C11" s="6">
        <v>32</v>
      </c>
      <c r="D11" s="6">
        <v>630000</v>
      </c>
      <c r="E11" s="6">
        <v>10</v>
      </c>
      <c r="F11" s="6">
        <v>3</v>
      </c>
    </row>
    <row r="12" spans="1:6" x14ac:dyDescent="0.25">
      <c r="A12" s="8" t="s">
        <v>62</v>
      </c>
      <c r="B12" s="6">
        <v>2012</v>
      </c>
      <c r="C12" s="6">
        <v>34</v>
      </c>
      <c r="D12" s="6">
        <v>230000</v>
      </c>
      <c r="E12" s="6">
        <v>2</v>
      </c>
      <c r="F12" s="6">
        <v>5</v>
      </c>
    </row>
    <row r="13" spans="1:6" x14ac:dyDescent="0.25">
      <c r="A13" s="9" t="s">
        <v>48</v>
      </c>
      <c r="B13" s="6">
        <v>2012</v>
      </c>
      <c r="C13" s="6">
        <v>34</v>
      </c>
      <c r="D13" s="6">
        <v>230000</v>
      </c>
      <c r="E13" s="6">
        <v>2</v>
      </c>
      <c r="F13" s="6">
        <v>5</v>
      </c>
    </row>
    <row r="14" spans="1:6" x14ac:dyDescent="0.25">
      <c r="A14" s="10" t="s">
        <v>49</v>
      </c>
      <c r="B14" s="6">
        <v>2012</v>
      </c>
      <c r="C14" s="6">
        <v>34</v>
      </c>
      <c r="D14" s="6">
        <v>230000</v>
      </c>
      <c r="E14" s="6">
        <v>2</v>
      </c>
      <c r="F14" s="6">
        <v>5</v>
      </c>
    </row>
    <row r="15" spans="1:6" x14ac:dyDescent="0.25">
      <c r="A15" s="11" t="s">
        <v>38</v>
      </c>
      <c r="B15" s="6">
        <v>2012</v>
      </c>
      <c r="C15" s="6">
        <v>34</v>
      </c>
      <c r="D15" s="6">
        <v>230000</v>
      </c>
      <c r="E15" s="6">
        <v>2</v>
      </c>
      <c r="F15" s="6">
        <v>5</v>
      </c>
    </row>
    <row r="16" spans="1:6" x14ac:dyDescent="0.25">
      <c r="A16" s="12" t="s">
        <v>40</v>
      </c>
      <c r="B16" s="6">
        <v>2012</v>
      </c>
      <c r="C16" s="6">
        <v>34</v>
      </c>
      <c r="D16" s="6">
        <v>230000</v>
      </c>
      <c r="E16" s="6">
        <v>2</v>
      </c>
      <c r="F16" s="6">
        <v>5</v>
      </c>
    </row>
    <row r="17" spans="1:6" x14ac:dyDescent="0.25">
      <c r="A17" s="13" t="s">
        <v>50</v>
      </c>
      <c r="B17" s="6">
        <v>2012</v>
      </c>
      <c r="C17" s="6">
        <v>34</v>
      </c>
      <c r="D17" s="6">
        <v>230000</v>
      </c>
      <c r="E17" s="6">
        <v>2</v>
      </c>
      <c r="F17" s="6">
        <v>5</v>
      </c>
    </row>
    <row r="18" spans="1:6" x14ac:dyDescent="0.25">
      <c r="A18" s="14" t="s">
        <v>63</v>
      </c>
      <c r="B18" s="6">
        <v>2012</v>
      </c>
      <c r="C18" s="6">
        <v>34</v>
      </c>
      <c r="D18" s="6">
        <v>230000</v>
      </c>
      <c r="E18" s="6">
        <v>2</v>
      </c>
      <c r="F18" s="6">
        <v>5</v>
      </c>
    </row>
    <row r="19" spans="1:6" x14ac:dyDescent="0.25">
      <c r="A19" s="8" t="s">
        <v>66</v>
      </c>
      <c r="B19" s="6">
        <v>2014</v>
      </c>
      <c r="C19" s="6">
        <v>36</v>
      </c>
      <c r="D19" s="6">
        <v>330000</v>
      </c>
      <c r="E19" s="6">
        <v>4</v>
      </c>
      <c r="F19" s="6">
        <v>4</v>
      </c>
    </row>
    <row r="20" spans="1:6" x14ac:dyDescent="0.25">
      <c r="A20" s="9" t="s">
        <v>23</v>
      </c>
      <c r="B20" s="6">
        <v>2014</v>
      </c>
      <c r="C20" s="6">
        <v>36</v>
      </c>
      <c r="D20" s="6">
        <v>330000</v>
      </c>
      <c r="E20" s="6">
        <v>4</v>
      </c>
      <c r="F20" s="6">
        <v>4</v>
      </c>
    </row>
    <row r="21" spans="1:6" x14ac:dyDescent="0.25">
      <c r="A21" s="10" t="s">
        <v>24</v>
      </c>
      <c r="B21" s="6">
        <v>2014</v>
      </c>
      <c r="C21" s="6">
        <v>36</v>
      </c>
      <c r="D21" s="6">
        <v>330000</v>
      </c>
      <c r="E21" s="6">
        <v>4</v>
      </c>
      <c r="F21" s="6">
        <v>4</v>
      </c>
    </row>
    <row r="22" spans="1:6" x14ac:dyDescent="0.25">
      <c r="A22" s="11" t="s">
        <v>25</v>
      </c>
      <c r="B22" s="6">
        <v>2014</v>
      </c>
      <c r="C22" s="6">
        <v>36</v>
      </c>
      <c r="D22" s="6">
        <v>330000</v>
      </c>
      <c r="E22" s="6">
        <v>4</v>
      </c>
      <c r="F22" s="6">
        <v>4</v>
      </c>
    </row>
    <row r="23" spans="1:6" x14ac:dyDescent="0.25">
      <c r="A23" s="12" t="s">
        <v>19</v>
      </c>
      <c r="B23" s="6">
        <v>2014</v>
      </c>
      <c r="C23" s="6">
        <v>36</v>
      </c>
      <c r="D23" s="6">
        <v>330000</v>
      </c>
      <c r="E23" s="6">
        <v>4</v>
      </c>
      <c r="F23" s="6">
        <v>4</v>
      </c>
    </row>
    <row r="24" spans="1:6" x14ac:dyDescent="0.25">
      <c r="A24" s="13" t="s">
        <v>26</v>
      </c>
      <c r="B24" s="6">
        <v>2014</v>
      </c>
      <c r="C24" s="6">
        <v>36</v>
      </c>
      <c r="D24" s="6">
        <v>330000</v>
      </c>
      <c r="E24" s="6">
        <v>4</v>
      </c>
      <c r="F24" s="6">
        <v>4</v>
      </c>
    </row>
    <row r="25" spans="1:6" x14ac:dyDescent="0.25">
      <c r="A25" s="14" t="s">
        <v>67</v>
      </c>
      <c r="B25" s="6">
        <v>2014</v>
      </c>
      <c r="C25" s="6">
        <v>36</v>
      </c>
      <c r="D25" s="6">
        <v>330000</v>
      </c>
      <c r="E25" s="6">
        <v>4</v>
      </c>
      <c r="F25" s="6">
        <v>4</v>
      </c>
    </row>
    <row r="26" spans="1:6" x14ac:dyDescent="0.25">
      <c r="A26" s="8" t="s">
        <v>70</v>
      </c>
      <c r="B26" s="6">
        <v>2016</v>
      </c>
      <c r="C26" s="6">
        <v>38</v>
      </c>
      <c r="D26" s="6">
        <v>430000</v>
      </c>
      <c r="E26" s="6">
        <v>6</v>
      </c>
      <c r="F26" s="6">
        <v>3</v>
      </c>
    </row>
    <row r="27" spans="1:6" x14ac:dyDescent="0.25">
      <c r="A27" s="9" t="s">
        <v>36</v>
      </c>
      <c r="B27" s="6">
        <v>2016</v>
      </c>
      <c r="C27" s="6">
        <v>38</v>
      </c>
      <c r="D27" s="6">
        <v>430000</v>
      </c>
      <c r="E27" s="6">
        <v>6</v>
      </c>
      <c r="F27" s="6">
        <v>3</v>
      </c>
    </row>
    <row r="28" spans="1:6" x14ac:dyDescent="0.25">
      <c r="A28" s="10" t="s">
        <v>37</v>
      </c>
      <c r="B28" s="6">
        <v>2016</v>
      </c>
      <c r="C28" s="6">
        <v>38</v>
      </c>
      <c r="D28" s="6">
        <v>430000</v>
      </c>
      <c r="E28" s="6">
        <v>6</v>
      </c>
      <c r="F28" s="6">
        <v>3</v>
      </c>
    </row>
    <row r="29" spans="1:6" x14ac:dyDescent="0.25">
      <c r="A29" s="11" t="s">
        <v>38</v>
      </c>
      <c r="B29" s="6">
        <v>2016</v>
      </c>
      <c r="C29" s="6">
        <v>38</v>
      </c>
      <c r="D29" s="6">
        <v>430000</v>
      </c>
      <c r="E29" s="6">
        <v>6</v>
      </c>
      <c r="F29" s="6">
        <v>3</v>
      </c>
    </row>
    <row r="30" spans="1:6" x14ac:dyDescent="0.25">
      <c r="A30" s="12" t="s">
        <v>40</v>
      </c>
      <c r="B30" s="6">
        <v>2016</v>
      </c>
      <c r="C30" s="6">
        <v>38</v>
      </c>
      <c r="D30" s="6">
        <v>430000</v>
      </c>
      <c r="E30" s="6">
        <v>6</v>
      </c>
      <c r="F30" s="6">
        <v>3</v>
      </c>
    </row>
    <row r="31" spans="1:6" x14ac:dyDescent="0.25">
      <c r="A31" s="13" t="s">
        <v>39</v>
      </c>
      <c r="B31" s="6">
        <v>2016</v>
      </c>
      <c r="C31" s="6">
        <v>38</v>
      </c>
      <c r="D31" s="6">
        <v>430000</v>
      </c>
      <c r="E31" s="6">
        <v>6</v>
      </c>
      <c r="F31" s="6">
        <v>3</v>
      </c>
    </row>
    <row r="32" spans="1:6" x14ac:dyDescent="0.25">
      <c r="A32" s="14" t="s">
        <v>71</v>
      </c>
      <c r="B32" s="6">
        <v>2016</v>
      </c>
      <c r="C32" s="6">
        <v>38</v>
      </c>
      <c r="D32" s="6">
        <v>430000</v>
      </c>
      <c r="E32" s="6">
        <v>6</v>
      </c>
      <c r="F32" s="6">
        <v>3</v>
      </c>
    </row>
    <row r="33" spans="1:6" x14ac:dyDescent="0.25">
      <c r="A33" s="8" t="s">
        <v>74</v>
      </c>
      <c r="B33" s="6">
        <v>2018</v>
      </c>
      <c r="C33" s="6">
        <v>40</v>
      </c>
      <c r="D33" s="6">
        <v>530000</v>
      </c>
      <c r="E33" s="6">
        <v>8</v>
      </c>
      <c r="F33" s="6">
        <v>5</v>
      </c>
    </row>
    <row r="34" spans="1:6" x14ac:dyDescent="0.25">
      <c r="A34" s="9" t="s">
        <v>48</v>
      </c>
      <c r="B34" s="6">
        <v>2018</v>
      </c>
      <c r="C34" s="6">
        <v>40</v>
      </c>
      <c r="D34" s="6">
        <v>530000</v>
      </c>
      <c r="E34" s="6">
        <v>8</v>
      </c>
      <c r="F34" s="6">
        <v>5</v>
      </c>
    </row>
    <row r="35" spans="1:6" x14ac:dyDescent="0.25">
      <c r="A35" s="10" t="s">
        <v>49</v>
      </c>
      <c r="B35" s="6">
        <v>2018</v>
      </c>
      <c r="C35" s="6">
        <v>40</v>
      </c>
      <c r="D35" s="6">
        <v>530000</v>
      </c>
      <c r="E35" s="6">
        <v>8</v>
      </c>
      <c r="F35" s="6">
        <v>5</v>
      </c>
    </row>
    <row r="36" spans="1:6" x14ac:dyDescent="0.25">
      <c r="A36" s="11" t="s">
        <v>25</v>
      </c>
      <c r="B36" s="6">
        <v>2018</v>
      </c>
      <c r="C36" s="6">
        <v>40</v>
      </c>
      <c r="D36" s="6">
        <v>530000</v>
      </c>
      <c r="E36" s="6">
        <v>8</v>
      </c>
      <c r="F36" s="6">
        <v>5</v>
      </c>
    </row>
    <row r="37" spans="1:6" x14ac:dyDescent="0.25">
      <c r="A37" s="12" t="s">
        <v>19</v>
      </c>
      <c r="B37" s="6">
        <v>2018</v>
      </c>
      <c r="C37" s="6">
        <v>40</v>
      </c>
      <c r="D37" s="6">
        <v>530000</v>
      </c>
      <c r="E37" s="6">
        <v>8</v>
      </c>
      <c r="F37" s="6">
        <v>5</v>
      </c>
    </row>
    <row r="38" spans="1:6" x14ac:dyDescent="0.25">
      <c r="A38" s="13" t="s">
        <v>50</v>
      </c>
      <c r="B38" s="6">
        <v>2018</v>
      </c>
      <c r="C38" s="6">
        <v>40</v>
      </c>
      <c r="D38" s="6">
        <v>530000</v>
      </c>
      <c r="E38" s="6">
        <v>8</v>
      </c>
      <c r="F38" s="6">
        <v>5</v>
      </c>
    </row>
    <row r="39" spans="1:6" x14ac:dyDescent="0.25">
      <c r="A39" s="14" t="s">
        <v>75</v>
      </c>
      <c r="B39" s="6">
        <v>2018</v>
      </c>
      <c r="C39" s="6">
        <v>40</v>
      </c>
      <c r="D39" s="6">
        <v>530000</v>
      </c>
      <c r="E39" s="6">
        <v>8</v>
      </c>
      <c r="F39" s="6">
        <v>5</v>
      </c>
    </row>
    <row r="40" spans="1:6" x14ac:dyDescent="0.25">
      <c r="A40" s="8" t="s">
        <v>21</v>
      </c>
      <c r="B40" s="6">
        <v>2002</v>
      </c>
      <c r="C40" s="6">
        <v>24</v>
      </c>
      <c r="D40" s="6">
        <v>230000</v>
      </c>
      <c r="E40" s="6">
        <v>2</v>
      </c>
      <c r="F40" s="6">
        <v>4</v>
      </c>
    </row>
    <row r="41" spans="1:6" x14ac:dyDescent="0.25">
      <c r="A41" s="9" t="s">
        <v>23</v>
      </c>
      <c r="B41" s="6">
        <v>2002</v>
      </c>
      <c r="C41" s="6">
        <v>24</v>
      </c>
      <c r="D41" s="6">
        <v>230000</v>
      </c>
      <c r="E41" s="6">
        <v>2</v>
      </c>
      <c r="F41" s="6">
        <v>4</v>
      </c>
    </row>
    <row r="42" spans="1:6" x14ac:dyDescent="0.25">
      <c r="A42" s="10" t="s">
        <v>24</v>
      </c>
      <c r="B42" s="6">
        <v>2002</v>
      </c>
      <c r="C42" s="6">
        <v>24</v>
      </c>
      <c r="D42" s="6">
        <v>230000</v>
      </c>
      <c r="E42" s="6">
        <v>2</v>
      </c>
      <c r="F42" s="6">
        <v>4</v>
      </c>
    </row>
    <row r="43" spans="1:6" x14ac:dyDescent="0.25">
      <c r="A43" s="11" t="s">
        <v>25</v>
      </c>
      <c r="B43" s="6">
        <v>2002</v>
      </c>
      <c r="C43" s="6">
        <v>24</v>
      </c>
      <c r="D43" s="6">
        <v>230000</v>
      </c>
      <c r="E43" s="6">
        <v>2</v>
      </c>
      <c r="F43" s="6">
        <v>4</v>
      </c>
    </row>
    <row r="44" spans="1:6" x14ac:dyDescent="0.25">
      <c r="A44" s="12" t="s">
        <v>19</v>
      </c>
      <c r="B44" s="6">
        <v>2002</v>
      </c>
      <c r="C44" s="6">
        <v>24</v>
      </c>
      <c r="D44" s="6">
        <v>230000</v>
      </c>
      <c r="E44" s="6">
        <v>2</v>
      </c>
      <c r="F44" s="6">
        <v>4</v>
      </c>
    </row>
    <row r="45" spans="1:6" x14ac:dyDescent="0.25">
      <c r="A45" s="13" t="s">
        <v>26</v>
      </c>
      <c r="B45" s="6">
        <v>2002</v>
      </c>
      <c r="C45" s="6">
        <v>24</v>
      </c>
      <c r="D45" s="6">
        <v>230000</v>
      </c>
      <c r="E45" s="6">
        <v>2</v>
      </c>
      <c r="F45" s="6">
        <v>4</v>
      </c>
    </row>
    <row r="46" spans="1:6" x14ac:dyDescent="0.25">
      <c r="A46" s="14" t="s">
        <v>27</v>
      </c>
      <c r="B46" s="6">
        <v>2002</v>
      </c>
      <c r="C46" s="6">
        <v>24</v>
      </c>
      <c r="D46" s="6">
        <v>230000</v>
      </c>
      <c r="E46" s="6">
        <v>2</v>
      </c>
      <c r="F46" s="6">
        <v>4</v>
      </c>
    </row>
    <row r="47" spans="1:6" x14ac:dyDescent="0.25">
      <c r="A47" s="8" t="s">
        <v>78</v>
      </c>
      <c r="B47" s="6">
        <v>2020</v>
      </c>
      <c r="C47" s="6">
        <v>23</v>
      </c>
      <c r="D47" s="6">
        <v>630000</v>
      </c>
      <c r="E47" s="6">
        <v>10</v>
      </c>
      <c r="F47" s="6">
        <v>4</v>
      </c>
    </row>
    <row r="48" spans="1:6" x14ac:dyDescent="0.25">
      <c r="A48" s="9" t="s">
        <v>23</v>
      </c>
      <c r="B48" s="6">
        <v>2020</v>
      </c>
      <c r="C48" s="6">
        <v>23</v>
      </c>
      <c r="D48" s="6">
        <v>630000</v>
      </c>
      <c r="E48" s="6">
        <v>10</v>
      </c>
      <c r="F48" s="6">
        <v>4</v>
      </c>
    </row>
    <row r="49" spans="1:6" x14ac:dyDescent="0.25">
      <c r="A49" s="10" t="s">
        <v>24</v>
      </c>
      <c r="B49" s="6">
        <v>2020</v>
      </c>
      <c r="C49" s="6">
        <v>23</v>
      </c>
      <c r="D49" s="6">
        <v>630000</v>
      </c>
      <c r="E49" s="6">
        <v>10</v>
      </c>
      <c r="F49" s="6">
        <v>4</v>
      </c>
    </row>
    <row r="50" spans="1:6" x14ac:dyDescent="0.25">
      <c r="A50" s="11" t="s">
        <v>38</v>
      </c>
      <c r="B50" s="6">
        <v>2020</v>
      </c>
      <c r="C50" s="6">
        <v>23</v>
      </c>
      <c r="D50" s="6">
        <v>630000</v>
      </c>
      <c r="E50" s="6">
        <v>10</v>
      </c>
      <c r="F50" s="6">
        <v>4</v>
      </c>
    </row>
    <row r="51" spans="1:6" x14ac:dyDescent="0.25">
      <c r="A51" s="12" t="s">
        <v>40</v>
      </c>
      <c r="B51" s="6">
        <v>2020</v>
      </c>
      <c r="C51" s="6">
        <v>23</v>
      </c>
      <c r="D51" s="6">
        <v>630000</v>
      </c>
      <c r="E51" s="6">
        <v>10</v>
      </c>
      <c r="F51" s="6">
        <v>4</v>
      </c>
    </row>
    <row r="52" spans="1:6" x14ac:dyDescent="0.25">
      <c r="A52" s="13" t="s">
        <v>26</v>
      </c>
      <c r="B52" s="6">
        <v>2020</v>
      </c>
      <c r="C52" s="6">
        <v>23</v>
      </c>
      <c r="D52" s="6">
        <v>630000</v>
      </c>
      <c r="E52" s="6">
        <v>10</v>
      </c>
      <c r="F52" s="6">
        <v>4</v>
      </c>
    </row>
    <row r="53" spans="1:6" x14ac:dyDescent="0.25">
      <c r="A53" s="14" t="s">
        <v>79</v>
      </c>
      <c r="B53" s="6">
        <v>2020</v>
      </c>
      <c r="C53" s="6">
        <v>23</v>
      </c>
      <c r="D53" s="6">
        <v>630000</v>
      </c>
      <c r="E53" s="6">
        <v>10</v>
      </c>
      <c r="F53" s="6">
        <v>4</v>
      </c>
    </row>
    <row r="54" spans="1:6" x14ac:dyDescent="0.25">
      <c r="A54" s="8" t="s">
        <v>82</v>
      </c>
      <c r="B54" s="6">
        <v>2022</v>
      </c>
      <c r="C54" s="6">
        <v>25</v>
      </c>
      <c r="D54" s="6">
        <v>230000</v>
      </c>
      <c r="E54" s="6">
        <v>2</v>
      </c>
      <c r="F54" s="6">
        <v>3</v>
      </c>
    </row>
    <row r="55" spans="1:6" x14ac:dyDescent="0.25">
      <c r="A55" s="9" t="s">
        <v>36</v>
      </c>
      <c r="B55" s="6">
        <v>2022</v>
      </c>
      <c r="C55" s="6">
        <v>25</v>
      </c>
      <c r="D55" s="6">
        <v>230000</v>
      </c>
      <c r="E55" s="6">
        <v>2</v>
      </c>
      <c r="F55" s="6">
        <v>3</v>
      </c>
    </row>
    <row r="56" spans="1:6" x14ac:dyDescent="0.25">
      <c r="A56" s="10" t="s">
        <v>37</v>
      </c>
      <c r="B56" s="6">
        <v>2022</v>
      </c>
      <c r="C56" s="6">
        <v>25</v>
      </c>
      <c r="D56" s="6">
        <v>230000</v>
      </c>
      <c r="E56" s="6">
        <v>2</v>
      </c>
      <c r="F56" s="6">
        <v>3</v>
      </c>
    </row>
    <row r="57" spans="1:6" x14ac:dyDescent="0.25">
      <c r="A57" s="11" t="s">
        <v>25</v>
      </c>
      <c r="B57" s="6">
        <v>2022</v>
      </c>
      <c r="C57" s="6">
        <v>25</v>
      </c>
      <c r="D57" s="6">
        <v>230000</v>
      </c>
      <c r="E57" s="6">
        <v>2</v>
      </c>
      <c r="F57" s="6">
        <v>3</v>
      </c>
    </row>
    <row r="58" spans="1:6" x14ac:dyDescent="0.25">
      <c r="A58" s="12" t="s">
        <v>19</v>
      </c>
      <c r="B58" s="6">
        <v>2022</v>
      </c>
      <c r="C58" s="6">
        <v>25</v>
      </c>
      <c r="D58" s="6">
        <v>230000</v>
      </c>
      <c r="E58" s="6">
        <v>2</v>
      </c>
      <c r="F58" s="6">
        <v>3</v>
      </c>
    </row>
    <row r="59" spans="1:6" x14ac:dyDescent="0.25">
      <c r="A59" s="13" t="s">
        <v>39</v>
      </c>
      <c r="B59" s="6">
        <v>2022</v>
      </c>
      <c r="C59" s="6">
        <v>25</v>
      </c>
      <c r="D59" s="6">
        <v>230000</v>
      </c>
      <c r="E59" s="6">
        <v>2</v>
      </c>
      <c r="F59" s="6">
        <v>3</v>
      </c>
    </row>
    <row r="60" spans="1:6" x14ac:dyDescent="0.25">
      <c r="A60" s="14" t="s">
        <v>83</v>
      </c>
      <c r="B60" s="6">
        <v>2022</v>
      </c>
      <c r="C60" s="6">
        <v>25</v>
      </c>
      <c r="D60" s="6">
        <v>230000</v>
      </c>
      <c r="E60" s="6">
        <v>2</v>
      </c>
      <c r="F60" s="6">
        <v>3</v>
      </c>
    </row>
    <row r="61" spans="1:6" x14ac:dyDescent="0.25">
      <c r="A61" s="8" t="s">
        <v>86</v>
      </c>
      <c r="B61" s="6">
        <v>2024</v>
      </c>
      <c r="C61" s="6">
        <v>27</v>
      </c>
      <c r="D61" s="6">
        <v>330000</v>
      </c>
      <c r="E61" s="6">
        <v>4</v>
      </c>
      <c r="F61" s="6">
        <v>5</v>
      </c>
    </row>
    <row r="62" spans="1:6" x14ac:dyDescent="0.25">
      <c r="A62" s="9" t="s">
        <v>48</v>
      </c>
      <c r="B62" s="6">
        <v>2024</v>
      </c>
      <c r="C62" s="6">
        <v>27</v>
      </c>
      <c r="D62" s="6">
        <v>330000</v>
      </c>
      <c r="E62" s="6">
        <v>4</v>
      </c>
      <c r="F62" s="6">
        <v>5</v>
      </c>
    </row>
    <row r="63" spans="1:6" x14ac:dyDescent="0.25">
      <c r="A63" s="10" t="s">
        <v>49</v>
      </c>
      <c r="B63" s="6">
        <v>2024</v>
      </c>
      <c r="C63" s="6">
        <v>27</v>
      </c>
      <c r="D63" s="6">
        <v>330000</v>
      </c>
      <c r="E63" s="6">
        <v>4</v>
      </c>
      <c r="F63" s="6">
        <v>5</v>
      </c>
    </row>
    <row r="64" spans="1:6" x14ac:dyDescent="0.25">
      <c r="A64" s="11" t="s">
        <v>38</v>
      </c>
      <c r="B64" s="6">
        <v>2024</v>
      </c>
      <c r="C64" s="6">
        <v>27</v>
      </c>
      <c r="D64" s="6">
        <v>330000</v>
      </c>
      <c r="E64" s="6">
        <v>4</v>
      </c>
      <c r="F64" s="6">
        <v>5</v>
      </c>
    </row>
    <row r="65" spans="1:6" x14ac:dyDescent="0.25">
      <c r="A65" s="12" t="s">
        <v>40</v>
      </c>
      <c r="B65" s="6">
        <v>2024</v>
      </c>
      <c r="C65" s="6">
        <v>27</v>
      </c>
      <c r="D65" s="6">
        <v>330000</v>
      </c>
      <c r="E65" s="6">
        <v>4</v>
      </c>
      <c r="F65" s="6">
        <v>5</v>
      </c>
    </row>
    <row r="66" spans="1:6" x14ac:dyDescent="0.25">
      <c r="A66" s="13" t="s">
        <v>50</v>
      </c>
      <c r="B66" s="6">
        <v>2024</v>
      </c>
      <c r="C66" s="6">
        <v>27</v>
      </c>
      <c r="D66" s="6">
        <v>330000</v>
      </c>
      <c r="E66" s="6">
        <v>4</v>
      </c>
      <c r="F66" s="6">
        <v>5</v>
      </c>
    </row>
    <row r="67" spans="1:6" x14ac:dyDescent="0.25">
      <c r="A67" s="14" t="s">
        <v>87</v>
      </c>
      <c r="B67" s="6">
        <v>2024</v>
      </c>
      <c r="C67" s="6">
        <v>27</v>
      </c>
      <c r="D67" s="6">
        <v>330000</v>
      </c>
      <c r="E67" s="6">
        <v>4</v>
      </c>
      <c r="F67" s="6">
        <v>5</v>
      </c>
    </row>
    <row r="68" spans="1:6" x14ac:dyDescent="0.25">
      <c r="A68" s="8" t="s">
        <v>90</v>
      </c>
      <c r="B68" s="6">
        <v>2026</v>
      </c>
      <c r="C68" s="6">
        <v>29</v>
      </c>
      <c r="D68" s="6">
        <v>430000</v>
      </c>
      <c r="E68" s="6">
        <v>6</v>
      </c>
      <c r="F68" s="6">
        <v>4</v>
      </c>
    </row>
    <row r="69" spans="1:6" x14ac:dyDescent="0.25">
      <c r="A69" s="9" t="s">
        <v>23</v>
      </c>
      <c r="B69" s="6">
        <v>2026</v>
      </c>
      <c r="C69" s="6">
        <v>29</v>
      </c>
      <c r="D69" s="6">
        <v>430000</v>
      </c>
      <c r="E69" s="6">
        <v>6</v>
      </c>
      <c r="F69" s="6">
        <v>4</v>
      </c>
    </row>
    <row r="70" spans="1:6" x14ac:dyDescent="0.25">
      <c r="A70" s="10" t="s">
        <v>24</v>
      </c>
      <c r="B70" s="6">
        <v>2026</v>
      </c>
      <c r="C70" s="6">
        <v>29</v>
      </c>
      <c r="D70" s="6">
        <v>430000</v>
      </c>
      <c r="E70" s="6">
        <v>6</v>
      </c>
      <c r="F70" s="6">
        <v>4</v>
      </c>
    </row>
    <row r="71" spans="1:6" x14ac:dyDescent="0.25">
      <c r="A71" s="11" t="s">
        <v>25</v>
      </c>
      <c r="B71" s="6">
        <v>2026</v>
      </c>
      <c r="C71" s="6">
        <v>29</v>
      </c>
      <c r="D71" s="6">
        <v>430000</v>
      </c>
      <c r="E71" s="6">
        <v>6</v>
      </c>
      <c r="F71" s="6">
        <v>4</v>
      </c>
    </row>
    <row r="72" spans="1:6" x14ac:dyDescent="0.25">
      <c r="A72" s="12" t="s">
        <v>19</v>
      </c>
      <c r="B72" s="6">
        <v>2026</v>
      </c>
      <c r="C72" s="6">
        <v>29</v>
      </c>
      <c r="D72" s="6">
        <v>430000</v>
      </c>
      <c r="E72" s="6">
        <v>6</v>
      </c>
      <c r="F72" s="6">
        <v>4</v>
      </c>
    </row>
    <row r="73" spans="1:6" x14ac:dyDescent="0.25">
      <c r="A73" s="13" t="s">
        <v>26</v>
      </c>
      <c r="B73" s="6">
        <v>2026</v>
      </c>
      <c r="C73" s="6">
        <v>29</v>
      </c>
      <c r="D73" s="6">
        <v>430000</v>
      </c>
      <c r="E73" s="6">
        <v>6</v>
      </c>
      <c r="F73" s="6">
        <v>4</v>
      </c>
    </row>
    <row r="74" spans="1:6" x14ac:dyDescent="0.25">
      <c r="A74" s="14" t="s">
        <v>91</v>
      </c>
      <c r="B74" s="6">
        <v>2026</v>
      </c>
      <c r="C74" s="6">
        <v>29</v>
      </c>
      <c r="D74" s="6">
        <v>430000</v>
      </c>
      <c r="E74" s="6">
        <v>6</v>
      </c>
      <c r="F74" s="6">
        <v>4</v>
      </c>
    </row>
    <row r="75" spans="1:6" x14ac:dyDescent="0.25">
      <c r="A75" s="8" t="s">
        <v>94</v>
      </c>
      <c r="B75" s="6">
        <v>2028</v>
      </c>
      <c r="C75" s="6">
        <v>31</v>
      </c>
      <c r="D75" s="6">
        <v>530000</v>
      </c>
      <c r="E75" s="6">
        <v>8</v>
      </c>
      <c r="F75" s="6">
        <v>3</v>
      </c>
    </row>
    <row r="76" spans="1:6" x14ac:dyDescent="0.25">
      <c r="A76" s="9" t="s">
        <v>36</v>
      </c>
      <c r="B76" s="6">
        <v>2028</v>
      </c>
      <c r="C76" s="6">
        <v>31</v>
      </c>
      <c r="D76" s="6">
        <v>530000</v>
      </c>
      <c r="E76" s="6">
        <v>8</v>
      </c>
      <c r="F76" s="6">
        <v>3</v>
      </c>
    </row>
    <row r="77" spans="1:6" x14ac:dyDescent="0.25">
      <c r="A77" s="10" t="s">
        <v>37</v>
      </c>
      <c r="B77" s="6">
        <v>2028</v>
      </c>
      <c r="C77" s="6">
        <v>31</v>
      </c>
      <c r="D77" s="6">
        <v>530000</v>
      </c>
      <c r="E77" s="6">
        <v>8</v>
      </c>
      <c r="F77" s="6">
        <v>3</v>
      </c>
    </row>
    <row r="78" spans="1:6" x14ac:dyDescent="0.25">
      <c r="A78" s="11" t="s">
        <v>38</v>
      </c>
      <c r="B78" s="6">
        <v>2028</v>
      </c>
      <c r="C78" s="6">
        <v>31</v>
      </c>
      <c r="D78" s="6">
        <v>530000</v>
      </c>
      <c r="E78" s="6">
        <v>8</v>
      </c>
      <c r="F78" s="6">
        <v>3</v>
      </c>
    </row>
    <row r="79" spans="1:6" x14ac:dyDescent="0.25">
      <c r="A79" s="12" t="s">
        <v>40</v>
      </c>
      <c r="B79" s="6">
        <v>2028</v>
      </c>
      <c r="C79" s="6">
        <v>31</v>
      </c>
      <c r="D79" s="6">
        <v>530000</v>
      </c>
      <c r="E79" s="6">
        <v>8</v>
      </c>
      <c r="F79" s="6">
        <v>3</v>
      </c>
    </row>
    <row r="80" spans="1:6" x14ac:dyDescent="0.25">
      <c r="A80" s="13" t="s">
        <v>39</v>
      </c>
      <c r="B80" s="6">
        <v>2028</v>
      </c>
      <c r="C80" s="6">
        <v>31</v>
      </c>
      <c r="D80" s="6">
        <v>530000</v>
      </c>
      <c r="E80" s="6">
        <v>8</v>
      </c>
      <c r="F80" s="6">
        <v>3</v>
      </c>
    </row>
    <row r="81" spans="1:6" x14ac:dyDescent="0.25">
      <c r="A81" s="14" t="s">
        <v>95</v>
      </c>
      <c r="B81" s="6">
        <v>2028</v>
      </c>
      <c r="C81" s="6">
        <v>31</v>
      </c>
      <c r="D81" s="6">
        <v>530000</v>
      </c>
      <c r="E81" s="6">
        <v>8</v>
      </c>
      <c r="F81" s="6">
        <v>3</v>
      </c>
    </row>
    <row r="82" spans="1:6" x14ac:dyDescent="0.25">
      <c r="A82" s="8" t="s">
        <v>98</v>
      </c>
      <c r="B82" s="6">
        <v>2030</v>
      </c>
      <c r="C82" s="6">
        <v>33</v>
      </c>
      <c r="D82" s="6">
        <v>630000</v>
      </c>
      <c r="E82" s="6">
        <v>10</v>
      </c>
      <c r="F82" s="6">
        <v>5</v>
      </c>
    </row>
    <row r="83" spans="1:6" x14ac:dyDescent="0.25">
      <c r="A83" s="9" t="s">
        <v>48</v>
      </c>
      <c r="B83" s="6">
        <v>2030</v>
      </c>
      <c r="C83" s="6">
        <v>33</v>
      </c>
      <c r="D83" s="6">
        <v>630000</v>
      </c>
      <c r="E83" s="6">
        <v>10</v>
      </c>
      <c r="F83" s="6">
        <v>5</v>
      </c>
    </row>
    <row r="84" spans="1:6" x14ac:dyDescent="0.25">
      <c r="A84" s="10" t="s">
        <v>49</v>
      </c>
      <c r="B84" s="6">
        <v>2030</v>
      </c>
      <c r="C84" s="6">
        <v>33</v>
      </c>
      <c r="D84" s="6">
        <v>630000</v>
      </c>
      <c r="E84" s="6">
        <v>10</v>
      </c>
      <c r="F84" s="6">
        <v>5</v>
      </c>
    </row>
    <row r="85" spans="1:6" x14ac:dyDescent="0.25">
      <c r="A85" s="11" t="s">
        <v>25</v>
      </c>
      <c r="B85" s="6">
        <v>2030</v>
      </c>
      <c r="C85" s="6">
        <v>33</v>
      </c>
      <c r="D85" s="6">
        <v>630000</v>
      </c>
      <c r="E85" s="6">
        <v>10</v>
      </c>
      <c r="F85" s="6">
        <v>5</v>
      </c>
    </row>
    <row r="86" spans="1:6" x14ac:dyDescent="0.25">
      <c r="A86" s="12" t="s">
        <v>19</v>
      </c>
      <c r="B86" s="6">
        <v>2030</v>
      </c>
      <c r="C86" s="6">
        <v>33</v>
      </c>
      <c r="D86" s="6">
        <v>630000</v>
      </c>
      <c r="E86" s="6">
        <v>10</v>
      </c>
      <c r="F86" s="6">
        <v>5</v>
      </c>
    </row>
    <row r="87" spans="1:6" x14ac:dyDescent="0.25">
      <c r="A87" s="13" t="s">
        <v>50</v>
      </c>
      <c r="B87" s="6">
        <v>2030</v>
      </c>
      <c r="C87" s="6">
        <v>33</v>
      </c>
      <c r="D87" s="6">
        <v>630000</v>
      </c>
      <c r="E87" s="6">
        <v>10</v>
      </c>
      <c r="F87" s="6">
        <v>5</v>
      </c>
    </row>
    <row r="88" spans="1:6" x14ac:dyDescent="0.25">
      <c r="A88" s="14" t="s">
        <v>99</v>
      </c>
      <c r="B88" s="6">
        <v>2030</v>
      </c>
      <c r="C88" s="6">
        <v>33</v>
      </c>
      <c r="D88" s="6">
        <v>630000</v>
      </c>
      <c r="E88" s="6">
        <v>10</v>
      </c>
      <c r="F88" s="6">
        <v>5</v>
      </c>
    </row>
    <row r="89" spans="1:6" x14ac:dyDescent="0.25">
      <c r="A89" s="8" t="s">
        <v>102</v>
      </c>
      <c r="B89" s="6">
        <v>2032</v>
      </c>
      <c r="C89" s="6">
        <v>35</v>
      </c>
      <c r="D89" s="6">
        <v>230000</v>
      </c>
      <c r="E89" s="6">
        <v>2</v>
      </c>
      <c r="F89" s="6">
        <v>4</v>
      </c>
    </row>
    <row r="90" spans="1:6" x14ac:dyDescent="0.25">
      <c r="A90" s="9" t="s">
        <v>23</v>
      </c>
      <c r="B90" s="6">
        <v>2032</v>
      </c>
      <c r="C90" s="6">
        <v>35</v>
      </c>
      <c r="D90" s="6">
        <v>230000</v>
      </c>
      <c r="E90" s="6">
        <v>2</v>
      </c>
      <c r="F90" s="6">
        <v>4</v>
      </c>
    </row>
    <row r="91" spans="1:6" x14ac:dyDescent="0.25">
      <c r="A91" s="10" t="s">
        <v>24</v>
      </c>
      <c r="B91" s="6">
        <v>2032</v>
      </c>
      <c r="C91" s="6">
        <v>35</v>
      </c>
      <c r="D91" s="6">
        <v>230000</v>
      </c>
      <c r="E91" s="6">
        <v>2</v>
      </c>
      <c r="F91" s="6">
        <v>4</v>
      </c>
    </row>
    <row r="92" spans="1:6" x14ac:dyDescent="0.25">
      <c r="A92" s="11" t="s">
        <v>38</v>
      </c>
      <c r="B92" s="6">
        <v>2032</v>
      </c>
      <c r="C92" s="6">
        <v>35</v>
      </c>
      <c r="D92" s="6">
        <v>230000</v>
      </c>
      <c r="E92" s="6">
        <v>2</v>
      </c>
      <c r="F92" s="6">
        <v>4</v>
      </c>
    </row>
    <row r="93" spans="1:6" x14ac:dyDescent="0.25">
      <c r="A93" s="12" t="s">
        <v>40</v>
      </c>
      <c r="B93" s="6">
        <v>2032</v>
      </c>
      <c r="C93" s="6">
        <v>35</v>
      </c>
      <c r="D93" s="6">
        <v>230000</v>
      </c>
      <c r="E93" s="6">
        <v>2</v>
      </c>
      <c r="F93" s="6">
        <v>4</v>
      </c>
    </row>
    <row r="94" spans="1:6" x14ac:dyDescent="0.25">
      <c r="A94" s="13" t="s">
        <v>26</v>
      </c>
      <c r="B94" s="6">
        <v>2032</v>
      </c>
      <c r="C94" s="6">
        <v>35</v>
      </c>
      <c r="D94" s="6">
        <v>230000</v>
      </c>
      <c r="E94" s="6">
        <v>2</v>
      </c>
      <c r="F94" s="6">
        <v>4</v>
      </c>
    </row>
    <row r="95" spans="1:6" x14ac:dyDescent="0.25">
      <c r="A95" s="14" t="s">
        <v>103</v>
      </c>
      <c r="B95" s="6">
        <v>2032</v>
      </c>
      <c r="C95" s="6">
        <v>35</v>
      </c>
      <c r="D95" s="6">
        <v>230000</v>
      </c>
      <c r="E95" s="6">
        <v>2</v>
      </c>
      <c r="F95" s="6">
        <v>4</v>
      </c>
    </row>
    <row r="96" spans="1:6" x14ac:dyDescent="0.25">
      <c r="A96" s="8" t="s">
        <v>106</v>
      </c>
      <c r="B96" s="6">
        <v>2034</v>
      </c>
      <c r="C96" s="6">
        <v>37</v>
      </c>
      <c r="D96" s="6">
        <v>330000</v>
      </c>
      <c r="E96" s="6">
        <v>4</v>
      </c>
      <c r="F96" s="6">
        <v>3</v>
      </c>
    </row>
    <row r="97" spans="1:6" x14ac:dyDescent="0.25">
      <c r="A97" s="9" t="s">
        <v>36</v>
      </c>
      <c r="B97" s="6">
        <v>2034</v>
      </c>
      <c r="C97" s="6">
        <v>37</v>
      </c>
      <c r="D97" s="6">
        <v>330000</v>
      </c>
      <c r="E97" s="6">
        <v>4</v>
      </c>
      <c r="F97" s="6">
        <v>3</v>
      </c>
    </row>
    <row r="98" spans="1:6" x14ac:dyDescent="0.25">
      <c r="A98" s="10" t="s">
        <v>37</v>
      </c>
      <c r="B98" s="6">
        <v>2034</v>
      </c>
      <c r="C98" s="6">
        <v>37</v>
      </c>
      <c r="D98" s="6">
        <v>330000</v>
      </c>
      <c r="E98" s="6">
        <v>4</v>
      </c>
      <c r="F98" s="6">
        <v>3</v>
      </c>
    </row>
    <row r="99" spans="1:6" x14ac:dyDescent="0.25">
      <c r="A99" s="11" t="s">
        <v>25</v>
      </c>
      <c r="B99" s="6">
        <v>2034</v>
      </c>
      <c r="C99" s="6">
        <v>37</v>
      </c>
      <c r="D99" s="6">
        <v>330000</v>
      </c>
      <c r="E99" s="6">
        <v>4</v>
      </c>
      <c r="F99" s="6">
        <v>3</v>
      </c>
    </row>
    <row r="100" spans="1:6" x14ac:dyDescent="0.25">
      <c r="A100" s="12" t="s">
        <v>19</v>
      </c>
      <c r="B100" s="6">
        <v>2034</v>
      </c>
      <c r="C100" s="6">
        <v>37</v>
      </c>
      <c r="D100" s="6">
        <v>330000</v>
      </c>
      <c r="E100" s="6">
        <v>4</v>
      </c>
      <c r="F100" s="6">
        <v>3</v>
      </c>
    </row>
    <row r="101" spans="1:6" x14ac:dyDescent="0.25">
      <c r="A101" s="13" t="s">
        <v>39</v>
      </c>
      <c r="B101" s="6">
        <v>2034</v>
      </c>
      <c r="C101" s="6">
        <v>37</v>
      </c>
      <c r="D101" s="6">
        <v>330000</v>
      </c>
      <c r="E101" s="6">
        <v>4</v>
      </c>
      <c r="F101" s="6">
        <v>3</v>
      </c>
    </row>
    <row r="102" spans="1:6" x14ac:dyDescent="0.25">
      <c r="A102" s="14" t="s">
        <v>107</v>
      </c>
      <c r="B102" s="6">
        <v>2034</v>
      </c>
      <c r="C102" s="6">
        <v>37</v>
      </c>
      <c r="D102" s="6">
        <v>330000</v>
      </c>
      <c r="E102" s="6">
        <v>4</v>
      </c>
      <c r="F102" s="6">
        <v>3</v>
      </c>
    </row>
    <row r="103" spans="1:6" x14ac:dyDescent="0.25">
      <c r="A103" s="8" t="s">
        <v>110</v>
      </c>
      <c r="B103" s="6">
        <v>2036</v>
      </c>
      <c r="C103" s="6">
        <v>39</v>
      </c>
      <c r="D103" s="6">
        <v>430000</v>
      </c>
      <c r="E103" s="6">
        <v>6</v>
      </c>
      <c r="F103" s="6">
        <v>5</v>
      </c>
    </row>
    <row r="104" spans="1:6" x14ac:dyDescent="0.25">
      <c r="A104" s="9" t="s">
        <v>48</v>
      </c>
      <c r="B104" s="6">
        <v>2036</v>
      </c>
      <c r="C104" s="6">
        <v>39</v>
      </c>
      <c r="D104" s="6">
        <v>430000</v>
      </c>
      <c r="E104" s="6">
        <v>6</v>
      </c>
      <c r="F104" s="6">
        <v>5</v>
      </c>
    </row>
    <row r="105" spans="1:6" x14ac:dyDescent="0.25">
      <c r="A105" s="10" t="s">
        <v>49</v>
      </c>
      <c r="B105" s="6">
        <v>2036</v>
      </c>
      <c r="C105" s="6">
        <v>39</v>
      </c>
      <c r="D105" s="6">
        <v>430000</v>
      </c>
      <c r="E105" s="6">
        <v>6</v>
      </c>
      <c r="F105" s="6">
        <v>5</v>
      </c>
    </row>
    <row r="106" spans="1:6" x14ac:dyDescent="0.25">
      <c r="A106" s="11" t="s">
        <v>38</v>
      </c>
      <c r="B106" s="6">
        <v>2036</v>
      </c>
      <c r="C106" s="6">
        <v>39</v>
      </c>
      <c r="D106" s="6">
        <v>430000</v>
      </c>
      <c r="E106" s="6">
        <v>6</v>
      </c>
      <c r="F106" s="6">
        <v>5</v>
      </c>
    </row>
    <row r="107" spans="1:6" x14ac:dyDescent="0.25">
      <c r="A107" s="12" t="s">
        <v>40</v>
      </c>
      <c r="B107" s="6">
        <v>2036</v>
      </c>
      <c r="C107" s="6">
        <v>39</v>
      </c>
      <c r="D107" s="6">
        <v>430000</v>
      </c>
      <c r="E107" s="6">
        <v>6</v>
      </c>
      <c r="F107" s="6">
        <v>5</v>
      </c>
    </row>
    <row r="108" spans="1:6" x14ac:dyDescent="0.25">
      <c r="A108" s="13" t="s">
        <v>50</v>
      </c>
      <c r="B108" s="6">
        <v>2036</v>
      </c>
      <c r="C108" s="6">
        <v>39</v>
      </c>
      <c r="D108" s="6">
        <v>430000</v>
      </c>
      <c r="E108" s="6">
        <v>6</v>
      </c>
      <c r="F108" s="6">
        <v>5</v>
      </c>
    </row>
    <row r="109" spans="1:6" x14ac:dyDescent="0.25">
      <c r="A109" s="14" t="s">
        <v>111</v>
      </c>
      <c r="B109" s="6">
        <v>2036</v>
      </c>
      <c r="C109" s="6">
        <v>39</v>
      </c>
      <c r="D109" s="6">
        <v>430000</v>
      </c>
      <c r="E109" s="6">
        <v>6</v>
      </c>
      <c r="F109" s="6">
        <v>5</v>
      </c>
    </row>
    <row r="110" spans="1:6" x14ac:dyDescent="0.25">
      <c r="A110" s="8" t="s">
        <v>114</v>
      </c>
      <c r="B110" s="6">
        <v>2038</v>
      </c>
      <c r="C110" s="6">
        <v>22</v>
      </c>
      <c r="D110" s="6">
        <v>530000</v>
      </c>
      <c r="E110" s="6">
        <v>8</v>
      </c>
      <c r="F110" s="6">
        <v>4</v>
      </c>
    </row>
    <row r="111" spans="1:6" x14ac:dyDescent="0.25">
      <c r="A111" s="9" t="s">
        <v>23</v>
      </c>
      <c r="B111" s="6">
        <v>2038</v>
      </c>
      <c r="C111" s="6">
        <v>22</v>
      </c>
      <c r="D111" s="6">
        <v>530000</v>
      </c>
      <c r="E111" s="6">
        <v>8</v>
      </c>
      <c r="F111" s="6">
        <v>4</v>
      </c>
    </row>
    <row r="112" spans="1:6" x14ac:dyDescent="0.25">
      <c r="A112" s="10" t="s">
        <v>24</v>
      </c>
      <c r="B112" s="6">
        <v>2038</v>
      </c>
      <c r="C112" s="6">
        <v>22</v>
      </c>
      <c r="D112" s="6">
        <v>530000</v>
      </c>
      <c r="E112" s="6">
        <v>8</v>
      </c>
      <c r="F112" s="6">
        <v>4</v>
      </c>
    </row>
    <row r="113" spans="1:6" x14ac:dyDescent="0.25">
      <c r="A113" s="11" t="s">
        <v>25</v>
      </c>
      <c r="B113" s="6">
        <v>2038</v>
      </c>
      <c r="C113" s="6">
        <v>22</v>
      </c>
      <c r="D113" s="6">
        <v>530000</v>
      </c>
      <c r="E113" s="6">
        <v>8</v>
      </c>
      <c r="F113" s="6">
        <v>4</v>
      </c>
    </row>
    <row r="114" spans="1:6" x14ac:dyDescent="0.25">
      <c r="A114" s="12" t="s">
        <v>19</v>
      </c>
      <c r="B114" s="6">
        <v>2038</v>
      </c>
      <c r="C114" s="6">
        <v>22</v>
      </c>
      <c r="D114" s="6">
        <v>530000</v>
      </c>
      <c r="E114" s="6">
        <v>8</v>
      </c>
      <c r="F114" s="6">
        <v>4</v>
      </c>
    </row>
    <row r="115" spans="1:6" x14ac:dyDescent="0.25">
      <c r="A115" s="13" t="s">
        <v>26</v>
      </c>
      <c r="B115" s="6">
        <v>2038</v>
      </c>
      <c r="C115" s="6">
        <v>22</v>
      </c>
      <c r="D115" s="6">
        <v>530000</v>
      </c>
      <c r="E115" s="6">
        <v>8</v>
      </c>
      <c r="F115" s="6">
        <v>4</v>
      </c>
    </row>
    <row r="116" spans="1:6" x14ac:dyDescent="0.25">
      <c r="A116" s="14" t="s">
        <v>115</v>
      </c>
      <c r="B116" s="6">
        <v>2038</v>
      </c>
      <c r="C116" s="6">
        <v>22</v>
      </c>
      <c r="D116" s="6">
        <v>530000</v>
      </c>
      <c r="E116" s="6">
        <v>8</v>
      </c>
      <c r="F116" s="6">
        <v>4</v>
      </c>
    </row>
    <row r="117" spans="1:6" x14ac:dyDescent="0.25">
      <c r="A117" s="8" t="s">
        <v>35</v>
      </c>
      <c r="B117" s="6">
        <v>2004</v>
      </c>
      <c r="C117" s="6">
        <v>26</v>
      </c>
      <c r="D117" s="6">
        <v>330000</v>
      </c>
      <c r="E117" s="6">
        <v>4</v>
      </c>
      <c r="F117" s="6">
        <v>3</v>
      </c>
    </row>
    <row r="118" spans="1:6" x14ac:dyDescent="0.25">
      <c r="A118" s="9" t="s">
        <v>36</v>
      </c>
      <c r="B118" s="6">
        <v>2004</v>
      </c>
      <c r="C118" s="6">
        <v>26</v>
      </c>
      <c r="D118" s="6">
        <v>330000</v>
      </c>
      <c r="E118" s="6">
        <v>4</v>
      </c>
      <c r="F118" s="6">
        <v>3</v>
      </c>
    </row>
    <row r="119" spans="1:6" x14ac:dyDescent="0.25">
      <c r="A119" s="10" t="s">
        <v>37</v>
      </c>
      <c r="B119" s="6">
        <v>2004</v>
      </c>
      <c r="C119" s="6">
        <v>26</v>
      </c>
      <c r="D119" s="6">
        <v>330000</v>
      </c>
      <c r="E119" s="6">
        <v>4</v>
      </c>
      <c r="F119" s="6">
        <v>3</v>
      </c>
    </row>
    <row r="120" spans="1:6" x14ac:dyDescent="0.25">
      <c r="A120" s="11" t="s">
        <v>38</v>
      </c>
      <c r="B120" s="6">
        <v>2004</v>
      </c>
      <c r="C120" s="6">
        <v>26</v>
      </c>
      <c r="D120" s="6">
        <v>330000</v>
      </c>
      <c r="E120" s="6">
        <v>4</v>
      </c>
      <c r="F120" s="6">
        <v>3</v>
      </c>
    </row>
    <row r="121" spans="1:6" x14ac:dyDescent="0.25">
      <c r="A121" s="12" t="s">
        <v>40</v>
      </c>
      <c r="B121" s="6">
        <v>2004</v>
      </c>
      <c r="C121" s="6">
        <v>26</v>
      </c>
      <c r="D121" s="6">
        <v>330000</v>
      </c>
      <c r="E121" s="6">
        <v>4</v>
      </c>
      <c r="F121" s="6">
        <v>3</v>
      </c>
    </row>
    <row r="122" spans="1:6" x14ac:dyDescent="0.25">
      <c r="A122" s="13" t="s">
        <v>39</v>
      </c>
      <c r="B122" s="6">
        <v>2004</v>
      </c>
      <c r="C122" s="6">
        <v>26</v>
      </c>
      <c r="D122" s="6">
        <v>330000</v>
      </c>
      <c r="E122" s="6">
        <v>4</v>
      </c>
      <c r="F122" s="6">
        <v>3</v>
      </c>
    </row>
    <row r="123" spans="1:6" x14ac:dyDescent="0.25">
      <c r="A123" s="14" t="s">
        <v>41</v>
      </c>
      <c r="B123" s="6">
        <v>2004</v>
      </c>
      <c r="C123" s="6">
        <v>26</v>
      </c>
      <c r="D123" s="6">
        <v>330000</v>
      </c>
      <c r="E123" s="6">
        <v>4</v>
      </c>
      <c r="F123" s="6">
        <v>3</v>
      </c>
    </row>
    <row r="124" spans="1:6" x14ac:dyDescent="0.25">
      <c r="A124" s="8" t="s">
        <v>118</v>
      </c>
      <c r="B124" s="6">
        <v>2040</v>
      </c>
      <c r="C124" s="6">
        <v>24</v>
      </c>
      <c r="D124" s="6">
        <v>630000</v>
      </c>
      <c r="E124" s="6">
        <v>10</v>
      </c>
      <c r="F124" s="6">
        <v>3</v>
      </c>
    </row>
    <row r="125" spans="1:6" x14ac:dyDescent="0.25">
      <c r="A125" s="9" t="s">
        <v>36</v>
      </c>
      <c r="B125" s="6">
        <v>2040</v>
      </c>
      <c r="C125" s="6">
        <v>24</v>
      </c>
      <c r="D125" s="6">
        <v>630000</v>
      </c>
      <c r="E125" s="6">
        <v>10</v>
      </c>
      <c r="F125" s="6">
        <v>3</v>
      </c>
    </row>
    <row r="126" spans="1:6" x14ac:dyDescent="0.25">
      <c r="A126" s="10" t="s">
        <v>37</v>
      </c>
      <c r="B126" s="6">
        <v>2040</v>
      </c>
      <c r="C126" s="6">
        <v>24</v>
      </c>
      <c r="D126" s="6">
        <v>630000</v>
      </c>
      <c r="E126" s="6">
        <v>10</v>
      </c>
      <c r="F126" s="6">
        <v>3</v>
      </c>
    </row>
    <row r="127" spans="1:6" x14ac:dyDescent="0.25">
      <c r="A127" s="11" t="s">
        <v>38</v>
      </c>
      <c r="B127" s="6">
        <v>2040</v>
      </c>
      <c r="C127" s="6">
        <v>24</v>
      </c>
      <c r="D127" s="6">
        <v>630000</v>
      </c>
      <c r="E127" s="6">
        <v>10</v>
      </c>
      <c r="F127" s="6">
        <v>3</v>
      </c>
    </row>
    <row r="128" spans="1:6" x14ac:dyDescent="0.25">
      <c r="A128" s="12" t="s">
        <v>40</v>
      </c>
      <c r="B128" s="6">
        <v>2040</v>
      </c>
      <c r="C128" s="6">
        <v>24</v>
      </c>
      <c r="D128" s="6">
        <v>630000</v>
      </c>
      <c r="E128" s="6">
        <v>10</v>
      </c>
      <c r="F128" s="6">
        <v>3</v>
      </c>
    </row>
    <row r="129" spans="1:6" x14ac:dyDescent="0.25">
      <c r="A129" s="13" t="s">
        <v>39</v>
      </c>
      <c r="B129" s="6">
        <v>2040</v>
      </c>
      <c r="C129" s="6">
        <v>24</v>
      </c>
      <c r="D129" s="6">
        <v>630000</v>
      </c>
      <c r="E129" s="6">
        <v>10</v>
      </c>
      <c r="F129" s="6">
        <v>3</v>
      </c>
    </row>
    <row r="130" spans="1:6" x14ac:dyDescent="0.25">
      <c r="A130" s="14" t="s">
        <v>119</v>
      </c>
      <c r="B130" s="6">
        <v>2040</v>
      </c>
      <c r="C130" s="6">
        <v>24</v>
      </c>
      <c r="D130" s="6">
        <v>630000</v>
      </c>
      <c r="E130" s="6">
        <v>10</v>
      </c>
      <c r="F130" s="6">
        <v>3</v>
      </c>
    </row>
    <row r="131" spans="1:6" x14ac:dyDescent="0.25">
      <c r="A131" s="8" t="s">
        <v>122</v>
      </c>
      <c r="B131" s="6">
        <v>2042</v>
      </c>
      <c r="C131" s="6">
        <v>26</v>
      </c>
      <c r="D131" s="6">
        <v>230000</v>
      </c>
      <c r="E131" s="6">
        <v>2</v>
      </c>
      <c r="F131" s="6">
        <v>5</v>
      </c>
    </row>
    <row r="132" spans="1:6" x14ac:dyDescent="0.25">
      <c r="A132" s="9" t="s">
        <v>48</v>
      </c>
      <c r="B132" s="6">
        <v>2042</v>
      </c>
      <c r="C132" s="6">
        <v>26</v>
      </c>
      <c r="D132" s="6">
        <v>230000</v>
      </c>
      <c r="E132" s="6">
        <v>2</v>
      </c>
      <c r="F132" s="6">
        <v>5</v>
      </c>
    </row>
    <row r="133" spans="1:6" x14ac:dyDescent="0.25">
      <c r="A133" s="10" t="s">
        <v>49</v>
      </c>
      <c r="B133" s="6">
        <v>2042</v>
      </c>
      <c r="C133" s="6">
        <v>26</v>
      </c>
      <c r="D133" s="6">
        <v>230000</v>
      </c>
      <c r="E133" s="6">
        <v>2</v>
      </c>
      <c r="F133" s="6">
        <v>5</v>
      </c>
    </row>
    <row r="134" spans="1:6" x14ac:dyDescent="0.25">
      <c r="A134" s="11" t="s">
        <v>25</v>
      </c>
      <c r="B134" s="6">
        <v>2042</v>
      </c>
      <c r="C134" s="6">
        <v>26</v>
      </c>
      <c r="D134" s="6">
        <v>230000</v>
      </c>
      <c r="E134" s="6">
        <v>2</v>
      </c>
      <c r="F134" s="6">
        <v>5</v>
      </c>
    </row>
    <row r="135" spans="1:6" x14ac:dyDescent="0.25">
      <c r="A135" s="12" t="s">
        <v>19</v>
      </c>
      <c r="B135" s="6">
        <v>2042</v>
      </c>
      <c r="C135" s="6">
        <v>26</v>
      </c>
      <c r="D135" s="6">
        <v>230000</v>
      </c>
      <c r="E135" s="6">
        <v>2</v>
      </c>
      <c r="F135" s="6">
        <v>5</v>
      </c>
    </row>
    <row r="136" spans="1:6" x14ac:dyDescent="0.25">
      <c r="A136" s="13" t="s">
        <v>50</v>
      </c>
      <c r="B136" s="6">
        <v>2042</v>
      </c>
      <c r="C136" s="6">
        <v>26</v>
      </c>
      <c r="D136" s="6">
        <v>230000</v>
      </c>
      <c r="E136" s="6">
        <v>2</v>
      </c>
      <c r="F136" s="6">
        <v>5</v>
      </c>
    </row>
    <row r="137" spans="1:6" x14ac:dyDescent="0.25">
      <c r="A137" s="14" t="s">
        <v>123</v>
      </c>
      <c r="B137" s="6">
        <v>2042</v>
      </c>
      <c r="C137" s="6">
        <v>26</v>
      </c>
      <c r="D137" s="6">
        <v>230000</v>
      </c>
      <c r="E137" s="6">
        <v>2</v>
      </c>
      <c r="F137" s="6">
        <v>5</v>
      </c>
    </row>
    <row r="138" spans="1:6" x14ac:dyDescent="0.25">
      <c r="A138" s="8" t="s">
        <v>126</v>
      </c>
      <c r="B138" s="6">
        <v>2044</v>
      </c>
      <c r="C138" s="6">
        <v>28</v>
      </c>
      <c r="D138" s="6">
        <v>330000</v>
      </c>
      <c r="E138" s="6">
        <v>4</v>
      </c>
      <c r="F138" s="6">
        <v>4</v>
      </c>
    </row>
    <row r="139" spans="1:6" x14ac:dyDescent="0.25">
      <c r="A139" s="9" t="s">
        <v>23</v>
      </c>
      <c r="B139" s="6">
        <v>2044</v>
      </c>
      <c r="C139" s="6">
        <v>28</v>
      </c>
      <c r="D139" s="6">
        <v>330000</v>
      </c>
      <c r="E139" s="6">
        <v>4</v>
      </c>
      <c r="F139" s="6">
        <v>4</v>
      </c>
    </row>
    <row r="140" spans="1:6" x14ac:dyDescent="0.25">
      <c r="A140" s="10" t="s">
        <v>24</v>
      </c>
      <c r="B140" s="6">
        <v>2044</v>
      </c>
      <c r="C140" s="6">
        <v>28</v>
      </c>
      <c r="D140" s="6">
        <v>330000</v>
      </c>
      <c r="E140" s="6">
        <v>4</v>
      </c>
      <c r="F140" s="6">
        <v>4</v>
      </c>
    </row>
    <row r="141" spans="1:6" x14ac:dyDescent="0.25">
      <c r="A141" s="11" t="s">
        <v>38</v>
      </c>
      <c r="B141" s="6">
        <v>2044</v>
      </c>
      <c r="C141" s="6">
        <v>28</v>
      </c>
      <c r="D141" s="6">
        <v>330000</v>
      </c>
      <c r="E141" s="6">
        <v>4</v>
      </c>
      <c r="F141" s="6">
        <v>4</v>
      </c>
    </row>
    <row r="142" spans="1:6" x14ac:dyDescent="0.25">
      <c r="A142" s="12" t="s">
        <v>40</v>
      </c>
      <c r="B142" s="6">
        <v>2044</v>
      </c>
      <c r="C142" s="6">
        <v>28</v>
      </c>
      <c r="D142" s="6">
        <v>330000</v>
      </c>
      <c r="E142" s="6">
        <v>4</v>
      </c>
      <c r="F142" s="6">
        <v>4</v>
      </c>
    </row>
    <row r="143" spans="1:6" x14ac:dyDescent="0.25">
      <c r="A143" s="13" t="s">
        <v>26</v>
      </c>
      <c r="B143" s="6">
        <v>2044</v>
      </c>
      <c r="C143" s="6">
        <v>28</v>
      </c>
      <c r="D143" s="6">
        <v>330000</v>
      </c>
      <c r="E143" s="6">
        <v>4</v>
      </c>
      <c r="F143" s="6">
        <v>4</v>
      </c>
    </row>
    <row r="144" spans="1:6" x14ac:dyDescent="0.25">
      <c r="A144" s="14" t="s">
        <v>127</v>
      </c>
      <c r="B144" s="6">
        <v>2044</v>
      </c>
      <c r="C144" s="6">
        <v>28</v>
      </c>
      <c r="D144" s="6">
        <v>330000</v>
      </c>
      <c r="E144" s="6">
        <v>4</v>
      </c>
      <c r="F144" s="6">
        <v>4</v>
      </c>
    </row>
    <row r="145" spans="1:6" x14ac:dyDescent="0.25">
      <c r="A145" s="8" t="s">
        <v>130</v>
      </c>
      <c r="B145" s="6">
        <v>2046</v>
      </c>
      <c r="C145" s="6">
        <v>30</v>
      </c>
      <c r="D145" s="6">
        <v>430000</v>
      </c>
      <c r="E145" s="6">
        <v>6</v>
      </c>
      <c r="F145" s="6">
        <v>3</v>
      </c>
    </row>
    <row r="146" spans="1:6" x14ac:dyDescent="0.25">
      <c r="A146" s="9" t="s">
        <v>36</v>
      </c>
      <c r="B146" s="6">
        <v>2046</v>
      </c>
      <c r="C146" s="6">
        <v>30</v>
      </c>
      <c r="D146" s="6">
        <v>430000</v>
      </c>
      <c r="E146" s="6">
        <v>6</v>
      </c>
      <c r="F146" s="6">
        <v>3</v>
      </c>
    </row>
    <row r="147" spans="1:6" x14ac:dyDescent="0.25">
      <c r="A147" s="10" t="s">
        <v>37</v>
      </c>
      <c r="B147" s="6">
        <v>2046</v>
      </c>
      <c r="C147" s="6">
        <v>30</v>
      </c>
      <c r="D147" s="6">
        <v>430000</v>
      </c>
      <c r="E147" s="6">
        <v>6</v>
      </c>
      <c r="F147" s="6">
        <v>3</v>
      </c>
    </row>
    <row r="148" spans="1:6" x14ac:dyDescent="0.25">
      <c r="A148" s="11" t="s">
        <v>25</v>
      </c>
      <c r="B148" s="6">
        <v>2046</v>
      </c>
      <c r="C148" s="6">
        <v>30</v>
      </c>
      <c r="D148" s="6">
        <v>430000</v>
      </c>
      <c r="E148" s="6">
        <v>6</v>
      </c>
      <c r="F148" s="6">
        <v>3</v>
      </c>
    </row>
    <row r="149" spans="1:6" x14ac:dyDescent="0.25">
      <c r="A149" s="12" t="s">
        <v>19</v>
      </c>
      <c r="B149" s="6">
        <v>2046</v>
      </c>
      <c r="C149" s="6">
        <v>30</v>
      </c>
      <c r="D149" s="6">
        <v>430000</v>
      </c>
      <c r="E149" s="6">
        <v>6</v>
      </c>
      <c r="F149" s="6">
        <v>3</v>
      </c>
    </row>
    <row r="150" spans="1:6" x14ac:dyDescent="0.25">
      <c r="A150" s="13" t="s">
        <v>39</v>
      </c>
      <c r="B150" s="6">
        <v>2046</v>
      </c>
      <c r="C150" s="6">
        <v>30</v>
      </c>
      <c r="D150" s="6">
        <v>430000</v>
      </c>
      <c r="E150" s="6">
        <v>6</v>
      </c>
      <c r="F150" s="6">
        <v>3</v>
      </c>
    </row>
    <row r="151" spans="1:6" x14ac:dyDescent="0.25">
      <c r="A151" s="14" t="s">
        <v>131</v>
      </c>
      <c r="B151" s="6">
        <v>2046</v>
      </c>
      <c r="C151" s="6">
        <v>30</v>
      </c>
      <c r="D151" s="6">
        <v>430000</v>
      </c>
      <c r="E151" s="6">
        <v>6</v>
      </c>
      <c r="F151" s="6">
        <v>3</v>
      </c>
    </row>
    <row r="152" spans="1:6" x14ac:dyDescent="0.25">
      <c r="A152" s="8" t="s">
        <v>134</v>
      </c>
      <c r="B152" s="6">
        <v>2048</v>
      </c>
      <c r="C152" s="6">
        <v>32</v>
      </c>
      <c r="D152" s="6">
        <v>530000</v>
      </c>
      <c r="E152" s="6">
        <v>8</v>
      </c>
      <c r="F152" s="6">
        <v>5</v>
      </c>
    </row>
    <row r="153" spans="1:6" x14ac:dyDescent="0.25">
      <c r="A153" s="9" t="s">
        <v>48</v>
      </c>
      <c r="B153" s="6">
        <v>2048</v>
      </c>
      <c r="C153" s="6">
        <v>32</v>
      </c>
      <c r="D153" s="6">
        <v>530000</v>
      </c>
      <c r="E153" s="6">
        <v>8</v>
      </c>
      <c r="F153" s="6">
        <v>5</v>
      </c>
    </row>
    <row r="154" spans="1:6" x14ac:dyDescent="0.25">
      <c r="A154" s="10" t="s">
        <v>49</v>
      </c>
      <c r="B154" s="6">
        <v>2048</v>
      </c>
      <c r="C154" s="6">
        <v>32</v>
      </c>
      <c r="D154" s="6">
        <v>530000</v>
      </c>
      <c r="E154" s="6">
        <v>8</v>
      </c>
      <c r="F154" s="6">
        <v>5</v>
      </c>
    </row>
    <row r="155" spans="1:6" x14ac:dyDescent="0.25">
      <c r="A155" s="11" t="s">
        <v>38</v>
      </c>
      <c r="B155" s="6">
        <v>2048</v>
      </c>
      <c r="C155" s="6">
        <v>32</v>
      </c>
      <c r="D155" s="6">
        <v>530000</v>
      </c>
      <c r="E155" s="6">
        <v>8</v>
      </c>
      <c r="F155" s="6">
        <v>5</v>
      </c>
    </row>
    <row r="156" spans="1:6" x14ac:dyDescent="0.25">
      <c r="A156" s="12" t="s">
        <v>40</v>
      </c>
      <c r="B156" s="6">
        <v>2048</v>
      </c>
      <c r="C156" s="6">
        <v>32</v>
      </c>
      <c r="D156" s="6">
        <v>530000</v>
      </c>
      <c r="E156" s="6">
        <v>8</v>
      </c>
      <c r="F156" s="6">
        <v>5</v>
      </c>
    </row>
    <row r="157" spans="1:6" x14ac:dyDescent="0.25">
      <c r="A157" s="13" t="s">
        <v>50</v>
      </c>
      <c r="B157" s="6">
        <v>2048</v>
      </c>
      <c r="C157" s="6">
        <v>32</v>
      </c>
      <c r="D157" s="6">
        <v>530000</v>
      </c>
      <c r="E157" s="6">
        <v>8</v>
      </c>
      <c r="F157" s="6">
        <v>5</v>
      </c>
    </row>
    <row r="158" spans="1:6" x14ac:dyDescent="0.25">
      <c r="A158" s="14" t="s">
        <v>135</v>
      </c>
      <c r="B158" s="6">
        <v>2048</v>
      </c>
      <c r="C158" s="6">
        <v>32</v>
      </c>
      <c r="D158" s="6">
        <v>530000</v>
      </c>
      <c r="E158" s="6">
        <v>8</v>
      </c>
      <c r="F158" s="6">
        <v>5</v>
      </c>
    </row>
    <row r="159" spans="1:6" x14ac:dyDescent="0.25">
      <c r="A159" s="8" t="s">
        <v>138</v>
      </c>
      <c r="B159" s="6">
        <v>2050</v>
      </c>
      <c r="C159" s="6">
        <v>34</v>
      </c>
      <c r="D159" s="6">
        <v>630000</v>
      </c>
      <c r="E159" s="6">
        <v>10</v>
      </c>
      <c r="F159" s="6">
        <v>4</v>
      </c>
    </row>
    <row r="160" spans="1:6" x14ac:dyDescent="0.25">
      <c r="A160" s="9" t="s">
        <v>23</v>
      </c>
      <c r="B160" s="6">
        <v>2050</v>
      </c>
      <c r="C160" s="6">
        <v>34</v>
      </c>
      <c r="D160" s="6">
        <v>630000</v>
      </c>
      <c r="E160" s="6">
        <v>10</v>
      </c>
      <c r="F160" s="6">
        <v>4</v>
      </c>
    </row>
    <row r="161" spans="1:6" x14ac:dyDescent="0.25">
      <c r="A161" s="10" t="s">
        <v>24</v>
      </c>
      <c r="B161" s="6">
        <v>2050</v>
      </c>
      <c r="C161" s="6">
        <v>34</v>
      </c>
      <c r="D161" s="6">
        <v>630000</v>
      </c>
      <c r="E161" s="6">
        <v>10</v>
      </c>
      <c r="F161" s="6">
        <v>4</v>
      </c>
    </row>
    <row r="162" spans="1:6" x14ac:dyDescent="0.25">
      <c r="A162" s="11" t="s">
        <v>25</v>
      </c>
      <c r="B162" s="6">
        <v>2050</v>
      </c>
      <c r="C162" s="6">
        <v>34</v>
      </c>
      <c r="D162" s="6">
        <v>630000</v>
      </c>
      <c r="E162" s="6">
        <v>10</v>
      </c>
      <c r="F162" s="6">
        <v>4</v>
      </c>
    </row>
    <row r="163" spans="1:6" x14ac:dyDescent="0.25">
      <c r="A163" s="12" t="s">
        <v>19</v>
      </c>
      <c r="B163" s="6">
        <v>2050</v>
      </c>
      <c r="C163" s="6">
        <v>34</v>
      </c>
      <c r="D163" s="6">
        <v>630000</v>
      </c>
      <c r="E163" s="6">
        <v>10</v>
      </c>
      <c r="F163" s="6">
        <v>4</v>
      </c>
    </row>
    <row r="164" spans="1:6" x14ac:dyDescent="0.25">
      <c r="A164" s="13" t="s">
        <v>26</v>
      </c>
      <c r="B164" s="6">
        <v>2050</v>
      </c>
      <c r="C164" s="6">
        <v>34</v>
      </c>
      <c r="D164" s="6">
        <v>630000</v>
      </c>
      <c r="E164" s="6">
        <v>10</v>
      </c>
      <c r="F164" s="6">
        <v>4</v>
      </c>
    </row>
    <row r="165" spans="1:6" x14ac:dyDescent="0.25">
      <c r="A165" s="14" t="s">
        <v>139</v>
      </c>
      <c r="B165" s="6">
        <v>2050</v>
      </c>
      <c r="C165" s="6">
        <v>34</v>
      </c>
      <c r="D165" s="6">
        <v>630000</v>
      </c>
      <c r="E165" s="6">
        <v>10</v>
      </c>
      <c r="F165" s="6">
        <v>4</v>
      </c>
    </row>
    <row r="166" spans="1:6" x14ac:dyDescent="0.25">
      <c r="A166" s="8" t="s">
        <v>47</v>
      </c>
      <c r="B166" s="6">
        <v>2006</v>
      </c>
      <c r="C166" s="6">
        <v>28</v>
      </c>
      <c r="D166" s="6">
        <v>430000</v>
      </c>
      <c r="E166" s="6">
        <v>6</v>
      </c>
      <c r="F166" s="6">
        <v>5</v>
      </c>
    </row>
    <row r="167" spans="1:6" x14ac:dyDescent="0.25">
      <c r="A167" s="9" t="s">
        <v>48</v>
      </c>
      <c r="B167" s="6">
        <v>2006</v>
      </c>
      <c r="C167" s="6">
        <v>28</v>
      </c>
      <c r="D167" s="6">
        <v>430000</v>
      </c>
      <c r="E167" s="6">
        <v>6</v>
      </c>
      <c r="F167" s="6">
        <v>5</v>
      </c>
    </row>
    <row r="168" spans="1:6" x14ac:dyDescent="0.25">
      <c r="A168" s="10" t="s">
        <v>49</v>
      </c>
      <c r="B168" s="6">
        <v>2006</v>
      </c>
      <c r="C168" s="6">
        <v>28</v>
      </c>
      <c r="D168" s="6">
        <v>430000</v>
      </c>
      <c r="E168" s="6">
        <v>6</v>
      </c>
      <c r="F168" s="6">
        <v>5</v>
      </c>
    </row>
    <row r="169" spans="1:6" x14ac:dyDescent="0.25">
      <c r="A169" s="11" t="s">
        <v>25</v>
      </c>
      <c r="B169" s="6">
        <v>2006</v>
      </c>
      <c r="C169" s="6">
        <v>28</v>
      </c>
      <c r="D169" s="6">
        <v>430000</v>
      </c>
      <c r="E169" s="6">
        <v>6</v>
      </c>
      <c r="F169" s="6">
        <v>5</v>
      </c>
    </row>
    <row r="170" spans="1:6" x14ac:dyDescent="0.25">
      <c r="A170" s="12" t="s">
        <v>19</v>
      </c>
      <c r="B170" s="6">
        <v>2006</v>
      </c>
      <c r="C170" s="6">
        <v>28</v>
      </c>
      <c r="D170" s="6">
        <v>430000</v>
      </c>
      <c r="E170" s="6">
        <v>6</v>
      </c>
      <c r="F170" s="6">
        <v>5</v>
      </c>
    </row>
    <row r="171" spans="1:6" x14ac:dyDescent="0.25">
      <c r="A171" s="13" t="s">
        <v>50</v>
      </c>
      <c r="B171" s="6">
        <v>2006</v>
      </c>
      <c r="C171" s="6">
        <v>28</v>
      </c>
      <c r="D171" s="6">
        <v>430000</v>
      </c>
      <c r="E171" s="6">
        <v>6</v>
      </c>
      <c r="F171" s="6">
        <v>5</v>
      </c>
    </row>
    <row r="172" spans="1:6" x14ac:dyDescent="0.25">
      <c r="A172" s="14" t="s">
        <v>51</v>
      </c>
      <c r="B172" s="6">
        <v>2006</v>
      </c>
      <c r="C172" s="6">
        <v>28</v>
      </c>
      <c r="D172" s="6">
        <v>430000</v>
      </c>
      <c r="E172" s="6">
        <v>6</v>
      </c>
      <c r="F172" s="6">
        <v>5</v>
      </c>
    </row>
    <row r="173" spans="1:6" x14ac:dyDescent="0.25">
      <c r="A173" s="8" t="s">
        <v>54</v>
      </c>
      <c r="B173" s="6">
        <v>2008</v>
      </c>
      <c r="C173" s="6">
        <v>30</v>
      </c>
      <c r="D173" s="6">
        <v>530000</v>
      </c>
      <c r="E173" s="6">
        <v>8</v>
      </c>
      <c r="F173" s="6">
        <v>4</v>
      </c>
    </row>
    <row r="174" spans="1:6" x14ac:dyDescent="0.25">
      <c r="A174" s="9" t="s">
        <v>23</v>
      </c>
      <c r="B174" s="6">
        <v>2008</v>
      </c>
      <c r="C174" s="6">
        <v>30</v>
      </c>
      <c r="D174" s="6">
        <v>530000</v>
      </c>
      <c r="E174" s="6">
        <v>8</v>
      </c>
      <c r="F174" s="6">
        <v>4</v>
      </c>
    </row>
    <row r="175" spans="1:6" x14ac:dyDescent="0.25">
      <c r="A175" s="10" t="s">
        <v>24</v>
      </c>
      <c r="B175" s="6">
        <v>2008</v>
      </c>
      <c r="C175" s="6">
        <v>30</v>
      </c>
      <c r="D175" s="6">
        <v>530000</v>
      </c>
      <c r="E175" s="6">
        <v>8</v>
      </c>
      <c r="F175" s="6">
        <v>4</v>
      </c>
    </row>
    <row r="176" spans="1:6" x14ac:dyDescent="0.25">
      <c r="A176" s="11" t="s">
        <v>38</v>
      </c>
      <c r="B176" s="6">
        <v>2008</v>
      </c>
      <c r="C176" s="6">
        <v>30</v>
      </c>
      <c r="D176" s="6">
        <v>530000</v>
      </c>
      <c r="E176" s="6">
        <v>8</v>
      </c>
      <c r="F176" s="6">
        <v>4</v>
      </c>
    </row>
    <row r="177" spans="1:6" x14ac:dyDescent="0.25">
      <c r="A177" s="12" t="s">
        <v>40</v>
      </c>
      <c r="B177" s="6">
        <v>2008</v>
      </c>
      <c r="C177" s="6">
        <v>30</v>
      </c>
      <c r="D177" s="6">
        <v>530000</v>
      </c>
      <c r="E177" s="6">
        <v>8</v>
      </c>
      <c r="F177" s="6">
        <v>4</v>
      </c>
    </row>
    <row r="178" spans="1:6" x14ac:dyDescent="0.25">
      <c r="A178" s="13" t="s">
        <v>26</v>
      </c>
      <c r="B178" s="6">
        <v>2008</v>
      </c>
      <c r="C178" s="6">
        <v>30</v>
      </c>
      <c r="D178" s="6">
        <v>530000</v>
      </c>
      <c r="E178" s="6">
        <v>8</v>
      </c>
      <c r="F178" s="6">
        <v>4</v>
      </c>
    </row>
    <row r="179" spans="1:6" x14ac:dyDescent="0.25">
      <c r="A179" s="14" t="s">
        <v>55</v>
      </c>
      <c r="B179" s="6">
        <v>2008</v>
      </c>
      <c r="C179" s="6">
        <v>30</v>
      </c>
      <c r="D179" s="6">
        <v>530000</v>
      </c>
      <c r="E179" s="6">
        <v>8</v>
      </c>
      <c r="F179" s="6">
        <v>4</v>
      </c>
    </row>
    <row r="180" spans="1:6" x14ac:dyDescent="0.25">
      <c r="A180" s="4" t="s">
        <v>14</v>
      </c>
      <c r="B180" s="6">
        <v>50625</v>
      </c>
      <c r="C180" s="6">
        <v>757</v>
      </c>
      <c r="D180" s="6">
        <v>9500000</v>
      </c>
      <c r="E180" s="6">
        <v>125</v>
      </c>
      <c r="F180" s="6">
        <v>99</v>
      </c>
    </row>
    <row r="181" spans="1:6" x14ac:dyDescent="0.25">
      <c r="A181" s="8" t="s">
        <v>13</v>
      </c>
      <c r="B181" s="6">
        <v>2001</v>
      </c>
      <c r="C181" s="6">
        <v>23</v>
      </c>
      <c r="D181" s="6">
        <v>180000</v>
      </c>
      <c r="E181" s="6">
        <v>1</v>
      </c>
      <c r="F181" s="6">
        <v>3</v>
      </c>
    </row>
    <row r="182" spans="1:6" x14ac:dyDescent="0.25">
      <c r="A182" s="9" t="s">
        <v>15</v>
      </c>
      <c r="B182" s="6">
        <v>2001</v>
      </c>
      <c r="C182" s="6">
        <v>23</v>
      </c>
      <c r="D182" s="6">
        <v>180000</v>
      </c>
      <c r="E182" s="6">
        <v>1</v>
      </c>
      <c r="F182" s="6">
        <v>3</v>
      </c>
    </row>
    <row r="183" spans="1:6" x14ac:dyDescent="0.25">
      <c r="A183" s="10" t="s">
        <v>16</v>
      </c>
      <c r="B183" s="6">
        <v>2001</v>
      </c>
      <c r="C183" s="6">
        <v>23</v>
      </c>
      <c r="D183" s="6">
        <v>180000</v>
      </c>
      <c r="E183" s="6">
        <v>1</v>
      </c>
      <c r="F183" s="6">
        <v>3</v>
      </c>
    </row>
    <row r="184" spans="1:6" x14ac:dyDescent="0.25">
      <c r="A184" s="11" t="s">
        <v>17</v>
      </c>
      <c r="B184" s="6">
        <v>2001</v>
      </c>
      <c r="C184" s="6">
        <v>23</v>
      </c>
      <c r="D184" s="6">
        <v>180000</v>
      </c>
      <c r="E184" s="6">
        <v>1</v>
      </c>
      <c r="F184" s="6">
        <v>3</v>
      </c>
    </row>
    <row r="185" spans="1:6" x14ac:dyDescent="0.25">
      <c r="A185" s="12" t="s">
        <v>19</v>
      </c>
      <c r="B185" s="6">
        <v>2001</v>
      </c>
      <c r="C185" s="6">
        <v>23</v>
      </c>
      <c r="D185" s="6">
        <v>180000</v>
      </c>
      <c r="E185" s="6">
        <v>1</v>
      </c>
      <c r="F185" s="6">
        <v>3</v>
      </c>
    </row>
    <row r="186" spans="1:6" x14ac:dyDescent="0.25">
      <c r="A186" s="13" t="s">
        <v>18</v>
      </c>
      <c r="B186" s="6">
        <v>2001</v>
      </c>
      <c r="C186" s="6">
        <v>23</v>
      </c>
      <c r="D186" s="6">
        <v>180000</v>
      </c>
      <c r="E186" s="6">
        <v>1</v>
      </c>
      <c r="F186" s="6">
        <v>3</v>
      </c>
    </row>
    <row r="187" spans="1:6" x14ac:dyDescent="0.25">
      <c r="A187" s="14" t="s">
        <v>20</v>
      </c>
      <c r="B187" s="6">
        <v>2001</v>
      </c>
      <c r="C187" s="6">
        <v>23</v>
      </c>
      <c r="D187" s="6">
        <v>180000</v>
      </c>
      <c r="E187" s="6">
        <v>1</v>
      </c>
      <c r="F187" s="6">
        <v>3</v>
      </c>
    </row>
    <row r="188" spans="1:6" x14ac:dyDescent="0.25">
      <c r="A188" s="8" t="s">
        <v>60</v>
      </c>
      <c r="B188" s="6">
        <v>2011</v>
      </c>
      <c r="C188" s="6">
        <v>33</v>
      </c>
      <c r="D188" s="6">
        <v>180000</v>
      </c>
      <c r="E188" s="6">
        <v>1</v>
      </c>
      <c r="F188" s="6">
        <v>4</v>
      </c>
    </row>
    <row r="189" spans="1:6" x14ac:dyDescent="0.25">
      <c r="A189" s="9" t="s">
        <v>43</v>
      </c>
      <c r="B189" s="6">
        <v>2011</v>
      </c>
      <c r="C189" s="6">
        <v>33</v>
      </c>
      <c r="D189" s="6">
        <v>180000</v>
      </c>
      <c r="E189" s="6">
        <v>1</v>
      </c>
      <c r="F189" s="6">
        <v>4</v>
      </c>
    </row>
    <row r="190" spans="1:6" x14ac:dyDescent="0.25">
      <c r="A190" s="10" t="s">
        <v>44</v>
      </c>
      <c r="B190" s="6">
        <v>2011</v>
      </c>
      <c r="C190" s="6">
        <v>33</v>
      </c>
      <c r="D190" s="6">
        <v>180000</v>
      </c>
      <c r="E190" s="6">
        <v>1</v>
      </c>
      <c r="F190" s="6">
        <v>4</v>
      </c>
    </row>
    <row r="191" spans="1:6" x14ac:dyDescent="0.25">
      <c r="A191" s="11" t="s">
        <v>31</v>
      </c>
      <c r="B191" s="6">
        <v>2011</v>
      </c>
      <c r="C191" s="6">
        <v>33</v>
      </c>
      <c r="D191" s="6">
        <v>180000</v>
      </c>
      <c r="E191" s="6">
        <v>1</v>
      </c>
      <c r="F191" s="6">
        <v>4</v>
      </c>
    </row>
    <row r="192" spans="1:6" x14ac:dyDescent="0.25">
      <c r="A192" s="12" t="s">
        <v>33</v>
      </c>
      <c r="B192" s="6">
        <v>2011</v>
      </c>
      <c r="C192" s="6">
        <v>33</v>
      </c>
      <c r="D192" s="6">
        <v>180000</v>
      </c>
      <c r="E192" s="6">
        <v>1</v>
      </c>
      <c r="F192" s="6">
        <v>4</v>
      </c>
    </row>
    <row r="193" spans="1:6" x14ac:dyDescent="0.25">
      <c r="A193" s="13" t="s">
        <v>45</v>
      </c>
      <c r="B193" s="6">
        <v>2011</v>
      </c>
      <c r="C193" s="6">
        <v>33</v>
      </c>
      <c r="D193" s="6">
        <v>180000</v>
      </c>
      <c r="E193" s="6">
        <v>1</v>
      </c>
      <c r="F193" s="6">
        <v>4</v>
      </c>
    </row>
    <row r="194" spans="1:6" x14ac:dyDescent="0.25">
      <c r="A194" s="14" t="s">
        <v>61</v>
      </c>
      <c r="B194" s="6">
        <v>2011</v>
      </c>
      <c r="C194" s="6">
        <v>33</v>
      </c>
      <c r="D194" s="6">
        <v>180000</v>
      </c>
      <c r="E194" s="6">
        <v>1</v>
      </c>
      <c r="F194" s="6">
        <v>4</v>
      </c>
    </row>
    <row r="195" spans="1:6" x14ac:dyDescent="0.25">
      <c r="A195" s="8" t="s">
        <v>64</v>
      </c>
      <c r="B195" s="6">
        <v>2013</v>
      </c>
      <c r="C195" s="6">
        <v>35</v>
      </c>
      <c r="D195" s="6">
        <v>280000</v>
      </c>
      <c r="E195" s="6">
        <v>3</v>
      </c>
      <c r="F195" s="6">
        <v>3</v>
      </c>
    </row>
    <row r="196" spans="1:6" x14ac:dyDescent="0.25">
      <c r="A196" s="9" t="s">
        <v>15</v>
      </c>
      <c r="B196" s="6">
        <v>2013</v>
      </c>
      <c r="C196" s="6">
        <v>35</v>
      </c>
      <c r="D196" s="6">
        <v>280000</v>
      </c>
      <c r="E196" s="6">
        <v>3</v>
      </c>
      <c r="F196" s="6">
        <v>3</v>
      </c>
    </row>
    <row r="197" spans="1:6" x14ac:dyDescent="0.25">
      <c r="A197" s="10" t="s">
        <v>16</v>
      </c>
      <c r="B197" s="6">
        <v>2013</v>
      </c>
      <c r="C197" s="6">
        <v>35</v>
      </c>
      <c r="D197" s="6">
        <v>280000</v>
      </c>
      <c r="E197" s="6">
        <v>3</v>
      </c>
      <c r="F197" s="6">
        <v>3</v>
      </c>
    </row>
    <row r="198" spans="1:6" x14ac:dyDescent="0.25">
      <c r="A198" s="11" t="s">
        <v>17</v>
      </c>
      <c r="B198" s="6">
        <v>2013</v>
      </c>
      <c r="C198" s="6">
        <v>35</v>
      </c>
      <c r="D198" s="6">
        <v>280000</v>
      </c>
      <c r="E198" s="6">
        <v>3</v>
      </c>
      <c r="F198" s="6">
        <v>3</v>
      </c>
    </row>
    <row r="199" spans="1:6" x14ac:dyDescent="0.25">
      <c r="A199" s="12" t="s">
        <v>19</v>
      </c>
      <c r="B199" s="6">
        <v>2013</v>
      </c>
      <c r="C199" s="6">
        <v>35</v>
      </c>
      <c r="D199" s="6">
        <v>280000</v>
      </c>
      <c r="E199" s="6">
        <v>3</v>
      </c>
      <c r="F199" s="6">
        <v>3</v>
      </c>
    </row>
    <row r="200" spans="1:6" x14ac:dyDescent="0.25">
      <c r="A200" s="13" t="s">
        <v>18</v>
      </c>
      <c r="B200" s="6">
        <v>2013</v>
      </c>
      <c r="C200" s="6">
        <v>35</v>
      </c>
      <c r="D200" s="6">
        <v>280000</v>
      </c>
      <c r="E200" s="6">
        <v>3</v>
      </c>
      <c r="F200" s="6">
        <v>3</v>
      </c>
    </row>
    <row r="201" spans="1:6" x14ac:dyDescent="0.25">
      <c r="A201" s="14" t="s">
        <v>65</v>
      </c>
      <c r="B201" s="6">
        <v>2013</v>
      </c>
      <c r="C201" s="6">
        <v>35</v>
      </c>
      <c r="D201" s="6">
        <v>280000</v>
      </c>
      <c r="E201" s="6">
        <v>3</v>
      </c>
      <c r="F201" s="6">
        <v>3</v>
      </c>
    </row>
    <row r="202" spans="1:6" x14ac:dyDescent="0.25">
      <c r="A202" s="8" t="s">
        <v>68</v>
      </c>
      <c r="B202" s="6">
        <v>2015</v>
      </c>
      <c r="C202" s="6">
        <v>37</v>
      </c>
      <c r="D202" s="6">
        <v>380000</v>
      </c>
      <c r="E202" s="6">
        <v>5</v>
      </c>
      <c r="F202" s="6">
        <v>5</v>
      </c>
    </row>
    <row r="203" spans="1:6" x14ac:dyDescent="0.25">
      <c r="A203" s="9" t="s">
        <v>29</v>
      </c>
      <c r="B203" s="6">
        <v>2015</v>
      </c>
      <c r="C203" s="6">
        <v>37</v>
      </c>
      <c r="D203" s="6">
        <v>380000</v>
      </c>
      <c r="E203" s="6">
        <v>5</v>
      </c>
      <c r="F203" s="6">
        <v>5</v>
      </c>
    </row>
    <row r="204" spans="1:6" x14ac:dyDescent="0.25">
      <c r="A204" s="10" t="s">
        <v>30</v>
      </c>
      <c r="B204" s="6">
        <v>2015</v>
      </c>
      <c r="C204" s="6">
        <v>37</v>
      </c>
      <c r="D204" s="6">
        <v>380000</v>
      </c>
      <c r="E204" s="6">
        <v>5</v>
      </c>
      <c r="F204" s="6">
        <v>5</v>
      </c>
    </row>
    <row r="205" spans="1:6" x14ac:dyDescent="0.25">
      <c r="A205" s="11" t="s">
        <v>31</v>
      </c>
      <c r="B205" s="6">
        <v>2015</v>
      </c>
      <c r="C205" s="6">
        <v>37</v>
      </c>
      <c r="D205" s="6">
        <v>380000</v>
      </c>
      <c r="E205" s="6">
        <v>5</v>
      </c>
      <c r="F205" s="6">
        <v>5</v>
      </c>
    </row>
    <row r="206" spans="1:6" x14ac:dyDescent="0.25">
      <c r="A206" s="12" t="s">
        <v>33</v>
      </c>
      <c r="B206" s="6">
        <v>2015</v>
      </c>
      <c r="C206" s="6">
        <v>37</v>
      </c>
      <c r="D206" s="6">
        <v>380000</v>
      </c>
      <c r="E206" s="6">
        <v>5</v>
      </c>
      <c r="F206" s="6">
        <v>5</v>
      </c>
    </row>
    <row r="207" spans="1:6" x14ac:dyDescent="0.25">
      <c r="A207" s="13" t="s">
        <v>32</v>
      </c>
      <c r="B207" s="6">
        <v>2015</v>
      </c>
      <c r="C207" s="6">
        <v>37</v>
      </c>
      <c r="D207" s="6">
        <v>380000</v>
      </c>
      <c r="E207" s="6">
        <v>5</v>
      </c>
      <c r="F207" s="6">
        <v>5</v>
      </c>
    </row>
    <row r="208" spans="1:6" x14ac:dyDescent="0.25">
      <c r="A208" s="14" t="s">
        <v>69</v>
      </c>
      <c r="B208" s="6">
        <v>2015</v>
      </c>
      <c r="C208" s="6">
        <v>37</v>
      </c>
      <c r="D208" s="6">
        <v>380000</v>
      </c>
      <c r="E208" s="6">
        <v>5</v>
      </c>
      <c r="F208" s="6">
        <v>5</v>
      </c>
    </row>
    <row r="209" spans="1:6" x14ac:dyDescent="0.25">
      <c r="A209" s="8" t="s">
        <v>72</v>
      </c>
      <c r="B209" s="6">
        <v>2017</v>
      </c>
      <c r="C209" s="6">
        <v>39</v>
      </c>
      <c r="D209" s="6">
        <v>480000</v>
      </c>
      <c r="E209" s="6">
        <v>7</v>
      </c>
      <c r="F209" s="6">
        <v>4</v>
      </c>
    </row>
    <row r="210" spans="1:6" x14ac:dyDescent="0.25">
      <c r="A210" s="9" t="s">
        <v>43</v>
      </c>
      <c r="B210" s="6">
        <v>2017</v>
      </c>
      <c r="C210" s="6">
        <v>39</v>
      </c>
      <c r="D210" s="6">
        <v>480000</v>
      </c>
      <c r="E210" s="6">
        <v>7</v>
      </c>
      <c r="F210" s="6">
        <v>4</v>
      </c>
    </row>
    <row r="211" spans="1:6" x14ac:dyDescent="0.25">
      <c r="A211" s="10" t="s">
        <v>44</v>
      </c>
      <c r="B211" s="6">
        <v>2017</v>
      </c>
      <c r="C211" s="6">
        <v>39</v>
      </c>
      <c r="D211" s="6">
        <v>480000</v>
      </c>
      <c r="E211" s="6">
        <v>7</v>
      </c>
      <c r="F211" s="6">
        <v>4</v>
      </c>
    </row>
    <row r="212" spans="1:6" x14ac:dyDescent="0.25">
      <c r="A212" s="11" t="s">
        <v>17</v>
      </c>
      <c r="B212" s="6">
        <v>2017</v>
      </c>
      <c r="C212" s="6">
        <v>39</v>
      </c>
      <c r="D212" s="6">
        <v>480000</v>
      </c>
      <c r="E212" s="6">
        <v>7</v>
      </c>
      <c r="F212" s="6">
        <v>4</v>
      </c>
    </row>
    <row r="213" spans="1:6" x14ac:dyDescent="0.25">
      <c r="A213" s="12" t="s">
        <v>19</v>
      </c>
      <c r="B213" s="6">
        <v>2017</v>
      </c>
      <c r="C213" s="6">
        <v>39</v>
      </c>
      <c r="D213" s="6">
        <v>480000</v>
      </c>
      <c r="E213" s="6">
        <v>7</v>
      </c>
      <c r="F213" s="6">
        <v>4</v>
      </c>
    </row>
    <row r="214" spans="1:6" x14ac:dyDescent="0.25">
      <c r="A214" s="13" t="s">
        <v>45</v>
      </c>
      <c r="B214" s="6">
        <v>2017</v>
      </c>
      <c r="C214" s="6">
        <v>39</v>
      </c>
      <c r="D214" s="6">
        <v>480000</v>
      </c>
      <c r="E214" s="6">
        <v>7</v>
      </c>
      <c r="F214" s="6">
        <v>4</v>
      </c>
    </row>
    <row r="215" spans="1:6" x14ac:dyDescent="0.25">
      <c r="A215" s="14" t="s">
        <v>73</v>
      </c>
      <c r="B215" s="6">
        <v>2017</v>
      </c>
      <c r="C215" s="6">
        <v>39</v>
      </c>
      <c r="D215" s="6">
        <v>480000</v>
      </c>
      <c r="E215" s="6">
        <v>7</v>
      </c>
      <c r="F215" s="6">
        <v>4</v>
      </c>
    </row>
    <row r="216" spans="1:6" x14ac:dyDescent="0.25">
      <c r="A216" s="8" t="s">
        <v>76</v>
      </c>
      <c r="B216" s="6">
        <v>2019</v>
      </c>
      <c r="C216" s="6">
        <v>22</v>
      </c>
      <c r="D216" s="6">
        <v>580000</v>
      </c>
      <c r="E216" s="6">
        <v>9</v>
      </c>
      <c r="F216" s="6">
        <v>3</v>
      </c>
    </row>
    <row r="217" spans="1:6" x14ac:dyDescent="0.25">
      <c r="A217" s="9" t="s">
        <v>15</v>
      </c>
      <c r="B217" s="6">
        <v>2019</v>
      </c>
      <c r="C217" s="6">
        <v>22</v>
      </c>
      <c r="D217" s="6">
        <v>580000</v>
      </c>
      <c r="E217" s="6">
        <v>9</v>
      </c>
      <c r="F217" s="6">
        <v>3</v>
      </c>
    </row>
    <row r="218" spans="1:6" x14ac:dyDescent="0.25">
      <c r="A218" s="10" t="s">
        <v>16</v>
      </c>
      <c r="B218" s="6">
        <v>2019</v>
      </c>
      <c r="C218" s="6">
        <v>22</v>
      </c>
      <c r="D218" s="6">
        <v>580000</v>
      </c>
      <c r="E218" s="6">
        <v>9</v>
      </c>
      <c r="F218" s="6">
        <v>3</v>
      </c>
    </row>
    <row r="219" spans="1:6" x14ac:dyDescent="0.25">
      <c r="A219" s="11" t="s">
        <v>31</v>
      </c>
      <c r="B219" s="6">
        <v>2019</v>
      </c>
      <c r="C219" s="6">
        <v>22</v>
      </c>
      <c r="D219" s="6">
        <v>580000</v>
      </c>
      <c r="E219" s="6">
        <v>9</v>
      </c>
      <c r="F219" s="6">
        <v>3</v>
      </c>
    </row>
    <row r="220" spans="1:6" x14ac:dyDescent="0.25">
      <c r="A220" s="12" t="s">
        <v>33</v>
      </c>
      <c r="B220" s="6">
        <v>2019</v>
      </c>
      <c r="C220" s="6">
        <v>22</v>
      </c>
      <c r="D220" s="6">
        <v>580000</v>
      </c>
      <c r="E220" s="6">
        <v>9</v>
      </c>
      <c r="F220" s="6">
        <v>3</v>
      </c>
    </row>
    <row r="221" spans="1:6" x14ac:dyDescent="0.25">
      <c r="A221" s="13" t="s">
        <v>18</v>
      </c>
      <c r="B221" s="6">
        <v>2019</v>
      </c>
      <c r="C221" s="6">
        <v>22</v>
      </c>
      <c r="D221" s="6">
        <v>580000</v>
      </c>
      <c r="E221" s="6">
        <v>9</v>
      </c>
      <c r="F221" s="6">
        <v>3</v>
      </c>
    </row>
    <row r="222" spans="1:6" x14ac:dyDescent="0.25">
      <c r="A222" s="14" t="s">
        <v>77</v>
      </c>
      <c r="B222" s="6">
        <v>2019</v>
      </c>
      <c r="C222" s="6">
        <v>22</v>
      </c>
      <c r="D222" s="6">
        <v>580000</v>
      </c>
      <c r="E222" s="6">
        <v>9</v>
      </c>
      <c r="F222" s="6">
        <v>3</v>
      </c>
    </row>
    <row r="223" spans="1:6" x14ac:dyDescent="0.25">
      <c r="A223" s="8" t="s">
        <v>80</v>
      </c>
      <c r="B223" s="6">
        <v>2021</v>
      </c>
      <c r="C223" s="6">
        <v>24</v>
      </c>
      <c r="D223" s="6">
        <v>180000</v>
      </c>
      <c r="E223" s="6">
        <v>1</v>
      </c>
      <c r="F223" s="6">
        <v>5</v>
      </c>
    </row>
    <row r="224" spans="1:6" x14ac:dyDescent="0.25">
      <c r="A224" s="9" t="s">
        <v>29</v>
      </c>
      <c r="B224" s="6">
        <v>2021</v>
      </c>
      <c r="C224" s="6">
        <v>24</v>
      </c>
      <c r="D224" s="6">
        <v>180000</v>
      </c>
      <c r="E224" s="6">
        <v>1</v>
      </c>
      <c r="F224" s="6">
        <v>5</v>
      </c>
    </row>
    <row r="225" spans="1:6" x14ac:dyDescent="0.25">
      <c r="A225" s="10" t="s">
        <v>30</v>
      </c>
      <c r="B225" s="6">
        <v>2021</v>
      </c>
      <c r="C225" s="6">
        <v>24</v>
      </c>
      <c r="D225" s="6">
        <v>180000</v>
      </c>
      <c r="E225" s="6">
        <v>1</v>
      </c>
      <c r="F225" s="6">
        <v>5</v>
      </c>
    </row>
    <row r="226" spans="1:6" x14ac:dyDescent="0.25">
      <c r="A226" s="11" t="s">
        <v>17</v>
      </c>
      <c r="B226" s="6">
        <v>2021</v>
      </c>
      <c r="C226" s="6">
        <v>24</v>
      </c>
      <c r="D226" s="6">
        <v>180000</v>
      </c>
      <c r="E226" s="6">
        <v>1</v>
      </c>
      <c r="F226" s="6">
        <v>5</v>
      </c>
    </row>
    <row r="227" spans="1:6" x14ac:dyDescent="0.25">
      <c r="A227" s="12" t="s">
        <v>19</v>
      </c>
      <c r="B227" s="6">
        <v>2021</v>
      </c>
      <c r="C227" s="6">
        <v>24</v>
      </c>
      <c r="D227" s="6">
        <v>180000</v>
      </c>
      <c r="E227" s="6">
        <v>1</v>
      </c>
      <c r="F227" s="6">
        <v>5</v>
      </c>
    </row>
    <row r="228" spans="1:6" x14ac:dyDescent="0.25">
      <c r="A228" s="13" t="s">
        <v>32</v>
      </c>
      <c r="B228" s="6">
        <v>2021</v>
      </c>
      <c r="C228" s="6">
        <v>24</v>
      </c>
      <c r="D228" s="6">
        <v>180000</v>
      </c>
      <c r="E228" s="6">
        <v>1</v>
      </c>
      <c r="F228" s="6">
        <v>5</v>
      </c>
    </row>
    <row r="229" spans="1:6" x14ac:dyDescent="0.25">
      <c r="A229" s="14" t="s">
        <v>81</v>
      </c>
      <c r="B229" s="6">
        <v>2021</v>
      </c>
      <c r="C229" s="6">
        <v>24</v>
      </c>
      <c r="D229" s="6">
        <v>180000</v>
      </c>
      <c r="E229" s="6">
        <v>1</v>
      </c>
      <c r="F229" s="6">
        <v>5</v>
      </c>
    </row>
    <row r="230" spans="1:6" x14ac:dyDescent="0.25">
      <c r="A230" s="8" t="s">
        <v>84</v>
      </c>
      <c r="B230" s="6">
        <v>2023</v>
      </c>
      <c r="C230" s="6">
        <v>26</v>
      </c>
      <c r="D230" s="6">
        <v>280000</v>
      </c>
      <c r="E230" s="6">
        <v>3</v>
      </c>
      <c r="F230" s="6">
        <v>4</v>
      </c>
    </row>
    <row r="231" spans="1:6" x14ac:dyDescent="0.25">
      <c r="A231" s="9" t="s">
        <v>43</v>
      </c>
      <c r="B231" s="6">
        <v>2023</v>
      </c>
      <c r="C231" s="6">
        <v>26</v>
      </c>
      <c r="D231" s="6">
        <v>280000</v>
      </c>
      <c r="E231" s="6">
        <v>3</v>
      </c>
      <c r="F231" s="6">
        <v>4</v>
      </c>
    </row>
    <row r="232" spans="1:6" x14ac:dyDescent="0.25">
      <c r="A232" s="10" t="s">
        <v>44</v>
      </c>
      <c r="B232" s="6">
        <v>2023</v>
      </c>
      <c r="C232" s="6">
        <v>26</v>
      </c>
      <c r="D232" s="6">
        <v>280000</v>
      </c>
      <c r="E232" s="6">
        <v>3</v>
      </c>
      <c r="F232" s="6">
        <v>4</v>
      </c>
    </row>
    <row r="233" spans="1:6" x14ac:dyDescent="0.25">
      <c r="A233" s="11" t="s">
        <v>31</v>
      </c>
      <c r="B233" s="6">
        <v>2023</v>
      </c>
      <c r="C233" s="6">
        <v>26</v>
      </c>
      <c r="D233" s="6">
        <v>280000</v>
      </c>
      <c r="E233" s="6">
        <v>3</v>
      </c>
      <c r="F233" s="6">
        <v>4</v>
      </c>
    </row>
    <row r="234" spans="1:6" x14ac:dyDescent="0.25">
      <c r="A234" s="12" t="s">
        <v>33</v>
      </c>
      <c r="B234" s="6">
        <v>2023</v>
      </c>
      <c r="C234" s="6">
        <v>26</v>
      </c>
      <c r="D234" s="6">
        <v>280000</v>
      </c>
      <c r="E234" s="6">
        <v>3</v>
      </c>
      <c r="F234" s="6">
        <v>4</v>
      </c>
    </row>
    <row r="235" spans="1:6" x14ac:dyDescent="0.25">
      <c r="A235" s="13" t="s">
        <v>45</v>
      </c>
      <c r="B235" s="6">
        <v>2023</v>
      </c>
      <c r="C235" s="6">
        <v>26</v>
      </c>
      <c r="D235" s="6">
        <v>280000</v>
      </c>
      <c r="E235" s="6">
        <v>3</v>
      </c>
      <c r="F235" s="6">
        <v>4</v>
      </c>
    </row>
    <row r="236" spans="1:6" x14ac:dyDescent="0.25">
      <c r="A236" s="14" t="s">
        <v>85</v>
      </c>
      <c r="B236" s="6">
        <v>2023</v>
      </c>
      <c r="C236" s="6">
        <v>26</v>
      </c>
      <c r="D236" s="6">
        <v>280000</v>
      </c>
      <c r="E236" s="6">
        <v>3</v>
      </c>
      <c r="F236" s="6">
        <v>4</v>
      </c>
    </row>
    <row r="237" spans="1:6" x14ac:dyDescent="0.25">
      <c r="A237" s="8" t="s">
        <v>88</v>
      </c>
      <c r="B237" s="6">
        <v>2025</v>
      </c>
      <c r="C237" s="6">
        <v>28</v>
      </c>
      <c r="D237" s="6">
        <v>380000</v>
      </c>
      <c r="E237" s="6">
        <v>5</v>
      </c>
      <c r="F237" s="6">
        <v>3</v>
      </c>
    </row>
    <row r="238" spans="1:6" x14ac:dyDescent="0.25">
      <c r="A238" s="9" t="s">
        <v>15</v>
      </c>
      <c r="B238" s="6">
        <v>2025</v>
      </c>
      <c r="C238" s="6">
        <v>28</v>
      </c>
      <c r="D238" s="6">
        <v>380000</v>
      </c>
      <c r="E238" s="6">
        <v>5</v>
      </c>
      <c r="F238" s="6">
        <v>3</v>
      </c>
    </row>
    <row r="239" spans="1:6" x14ac:dyDescent="0.25">
      <c r="A239" s="10" t="s">
        <v>16</v>
      </c>
      <c r="B239" s="6">
        <v>2025</v>
      </c>
      <c r="C239" s="6">
        <v>28</v>
      </c>
      <c r="D239" s="6">
        <v>380000</v>
      </c>
      <c r="E239" s="6">
        <v>5</v>
      </c>
      <c r="F239" s="6">
        <v>3</v>
      </c>
    </row>
    <row r="240" spans="1:6" x14ac:dyDescent="0.25">
      <c r="A240" s="11" t="s">
        <v>17</v>
      </c>
      <c r="B240" s="6">
        <v>2025</v>
      </c>
      <c r="C240" s="6">
        <v>28</v>
      </c>
      <c r="D240" s="6">
        <v>380000</v>
      </c>
      <c r="E240" s="6">
        <v>5</v>
      </c>
      <c r="F240" s="6">
        <v>3</v>
      </c>
    </row>
    <row r="241" spans="1:6" x14ac:dyDescent="0.25">
      <c r="A241" s="12" t="s">
        <v>19</v>
      </c>
      <c r="B241" s="6">
        <v>2025</v>
      </c>
      <c r="C241" s="6">
        <v>28</v>
      </c>
      <c r="D241" s="6">
        <v>380000</v>
      </c>
      <c r="E241" s="6">
        <v>5</v>
      </c>
      <c r="F241" s="6">
        <v>3</v>
      </c>
    </row>
    <row r="242" spans="1:6" x14ac:dyDescent="0.25">
      <c r="A242" s="13" t="s">
        <v>18</v>
      </c>
      <c r="B242" s="6">
        <v>2025</v>
      </c>
      <c r="C242" s="6">
        <v>28</v>
      </c>
      <c r="D242" s="6">
        <v>380000</v>
      </c>
      <c r="E242" s="6">
        <v>5</v>
      </c>
      <c r="F242" s="6">
        <v>3</v>
      </c>
    </row>
    <row r="243" spans="1:6" x14ac:dyDescent="0.25">
      <c r="A243" s="14" t="s">
        <v>89</v>
      </c>
      <c r="B243" s="6">
        <v>2025</v>
      </c>
      <c r="C243" s="6">
        <v>28</v>
      </c>
      <c r="D243" s="6">
        <v>380000</v>
      </c>
      <c r="E243" s="6">
        <v>5</v>
      </c>
      <c r="F243" s="6">
        <v>3</v>
      </c>
    </row>
    <row r="244" spans="1:6" x14ac:dyDescent="0.25">
      <c r="A244" s="8" t="s">
        <v>92</v>
      </c>
      <c r="B244" s="6">
        <v>2027</v>
      </c>
      <c r="C244" s="6">
        <v>30</v>
      </c>
      <c r="D244" s="6">
        <v>480000</v>
      </c>
      <c r="E244" s="6">
        <v>7</v>
      </c>
      <c r="F244" s="6">
        <v>5</v>
      </c>
    </row>
    <row r="245" spans="1:6" x14ac:dyDescent="0.25">
      <c r="A245" s="9" t="s">
        <v>29</v>
      </c>
      <c r="B245" s="6">
        <v>2027</v>
      </c>
      <c r="C245" s="6">
        <v>30</v>
      </c>
      <c r="D245" s="6">
        <v>480000</v>
      </c>
      <c r="E245" s="6">
        <v>7</v>
      </c>
      <c r="F245" s="6">
        <v>5</v>
      </c>
    </row>
    <row r="246" spans="1:6" x14ac:dyDescent="0.25">
      <c r="A246" s="10" t="s">
        <v>30</v>
      </c>
      <c r="B246" s="6">
        <v>2027</v>
      </c>
      <c r="C246" s="6">
        <v>30</v>
      </c>
      <c r="D246" s="6">
        <v>480000</v>
      </c>
      <c r="E246" s="6">
        <v>7</v>
      </c>
      <c r="F246" s="6">
        <v>5</v>
      </c>
    </row>
    <row r="247" spans="1:6" x14ac:dyDescent="0.25">
      <c r="A247" s="11" t="s">
        <v>31</v>
      </c>
      <c r="B247" s="6">
        <v>2027</v>
      </c>
      <c r="C247" s="6">
        <v>30</v>
      </c>
      <c r="D247" s="6">
        <v>480000</v>
      </c>
      <c r="E247" s="6">
        <v>7</v>
      </c>
      <c r="F247" s="6">
        <v>5</v>
      </c>
    </row>
    <row r="248" spans="1:6" x14ac:dyDescent="0.25">
      <c r="A248" s="12" t="s">
        <v>33</v>
      </c>
      <c r="B248" s="6">
        <v>2027</v>
      </c>
      <c r="C248" s="6">
        <v>30</v>
      </c>
      <c r="D248" s="6">
        <v>480000</v>
      </c>
      <c r="E248" s="6">
        <v>7</v>
      </c>
      <c r="F248" s="6">
        <v>5</v>
      </c>
    </row>
    <row r="249" spans="1:6" x14ac:dyDescent="0.25">
      <c r="A249" s="13" t="s">
        <v>32</v>
      </c>
      <c r="B249" s="6">
        <v>2027</v>
      </c>
      <c r="C249" s="6">
        <v>30</v>
      </c>
      <c r="D249" s="6">
        <v>480000</v>
      </c>
      <c r="E249" s="6">
        <v>7</v>
      </c>
      <c r="F249" s="6">
        <v>5</v>
      </c>
    </row>
    <row r="250" spans="1:6" x14ac:dyDescent="0.25">
      <c r="A250" s="14" t="s">
        <v>93</v>
      </c>
      <c r="B250" s="6">
        <v>2027</v>
      </c>
      <c r="C250" s="6">
        <v>30</v>
      </c>
      <c r="D250" s="6">
        <v>480000</v>
      </c>
      <c r="E250" s="6">
        <v>7</v>
      </c>
      <c r="F250" s="6">
        <v>5</v>
      </c>
    </row>
    <row r="251" spans="1:6" x14ac:dyDescent="0.25">
      <c r="A251" s="8" t="s">
        <v>96</v>
      </c>
      <c r="B251" s="6">
        <v>2029</v>
      </c>
      <c r="C251" s="6">
        <v>32</v>
      </c>
      <c r="D251" s="6">
        <v>580000</v>
      </c>
      <c r="E251" s="6">
        <v>9</v>
      </c>
      <c r="F251" s="6">
        <v>4</v>
      </c>
    </row>
    <row r="252" spans="1:6" x14ac:dyDescent="0.25">
      <c r="A252" s="9" t="s">
        <v>43</v>
      </c>
      <c r="B252" s="6">
        <v>2029</v>
      </c>
      <c r="C252" s="6">
        <v>32</v>
      </c>
      <c r="D252" s="6">
        <v>580000</v>
      </c>
      <c r="E252" s="6">
        <v>9</v>
      </c>
      <c r="F252" s="6">
        <v>4</v>
      </c>
    </row>
    <row r="253" spans="1:6" x14ac:dyDescent="0.25">
      <c r="A253" s="10" t="s">
        <v>44</v>
      </c>
      <c r="B253" s="6">
        <v>2029</v>
      </c>
      <c r="C253" s="6">
        <v>32</v>
      </c>
      <c r="D253" s="6">
        <v>580000</v>
      </c>
      <c r="E253" s="6">
        <v>9</v>
      </c>
      <c r="F253" s="6">
        <v>4</v>
      </c>
    </row>
    <row r="254" spans="1:6" x14ac:dyDescent="0.25">
      <c r="A254" s="11" t="s">
        <v>17</v>
      </c>
      <c r="B254" s="6">
        <v>2029</v>
      </c>
      <c r="C254" s="6">
        <v>32</v>
      </c>
      <c r="D254" s="6">
        <v>580000</v>
      </c>
      <c r="E254" s="6">
        <v>9</v>
      </c>
      <c r="F254" s="6">
        <v>4</v>
      </c>
    </row>
    <row r="255" spans="1:6" x14ac:dyDescent="0.25">
      <c r="A255" s="12" t="s">
        <v>19</v>
      </c>
      <c r="B255" s="6">
        <v>2029</v>
      </c>
      <c r="C255" s="6">
        <v>32</v>
      </c>
      <c r="D255" s="6">
        <v>580000</v>
      </c>
      <c r="E255" s="6">
        <v>9</v>
      </c>
      <c r="F255" s="6">
        <v>4</v>
      </c>
    </row>
    <row r="256" spans="1:6" x14ac:dyDescent="0.25">
      <c r="A256" s="13" t="s">
        <v>45</v>
      </c>
      <c r="B256" s="6">
        <v>2029</v>
      </c>
      <c r="C256" s="6">
        <v>32</v>
      </c>
      <c r="D256" s="6">
        <v>580000</v>
      </c>
      <c r="E256" s="6">
        <v>9</v>
      </c>
      <c r="F256" s="6">
        <v>4</v>
      </c>
    </row>
    <row r="257" spans="1:6" x14ac:dyDescent="0.25">
      <c r="A257" s="14" t="s">
        <v>97</v>
      </c>
      <c r="B257" s="6">
        <v>2029</v>
      </c>
      <c r="C257" s="6">
        <v>32</v>
      </c>
      <c r="D257" s="6">
        <v>580000</v>
      </c>
      <c r="E257" s="6">
        <v>9</v>
      </c>
      <c r="F257" s="6">
        <v>4</v>
      </c>
    </row>
    <row r="258" spans="1:6" x14ac:dyDescent="0.25">
      <c r="A258" s="8" t="s">
        <v>28</v>
      </c>
      <c r="B258" s="6">
        <v>2003</v>
      </c>
      <c r="C258" s="6">
        <v>25</v>
      </c>
      <c r="D258" s="6">
        <v>280000</v>
      </c>
      <c r="E258" s="6">
        <v>3</v>
      </c>
      <c r="F258" s="6">
        <v>5</v>
      </c>
    </row>
    <row r="259" spans="1:6" x14ac:dyDescent="0.25">
      <c r="A259" s="9" t="s">
        <v>29</v>
      </c>
      <c r="B259" s="6">
        <v>2003</v>
      </c>
      <c r="C259" s="6">
        <v>25</v>
      </c>
      <c r="D259" s="6">
        <v>280000</v>
      </c>
      <c r="E259" s="6">
        <v>3</v>
      </c>
      <c r="F259" s="6">
        <v>5</v>
      </c>
    </row>
    <row r="260" spans="1:6" x14ac:dyDescent="0.25">
      <c r="A260" s="10" t="s">
        <v>30</v>
      </c>
      <c r="B260" s="6">
        <v>2003</v>
      </c>
      <c r="C260" s="6">
        <v>25</v>
      </c>
      <c r="D260" s="6">
        <v>280000</v>
      </c>
      <c r="E260" s="6">
        <v>3</v>
      </c>
      <c r="F260" s="6">
        <v>5</v>
      </c>
    </row>
    <row r="261" spans="1:6" x14ac:dyDescent="0.25">
      <c r="A261" s="11" t="s">
        <v>31</v>
      </c>
      <c r="B261" s="6">
        <v>2003</v>
      </c>
      <c r="C261" s="6">
        <v>25</v>
      </c>
      <c r="D261" s="6">
        <v>280000</v>
      </c>
      <c r="E261" s="6">
        <v>3</v>
      </c>
      <c r="F261" s="6">
        <v>5</v>
      </c>
    </row>
    <row r="262" spans="1:6" x14ac:dyDescent="0.25">
      <c r="A262" s="12" t="s">
        <v>33</v>
      </c>
      <c r="B262" s="6">
        <v>2003</v>
      </c>
      <c r="C262" s="6">
        <v>25</v>
      </c>
      <c r="D262" s="6">
        <v>280000</v>
      </c>
      <c r="E262" s="6">
        <v>3</v>
      </c>
      <c r="F262" s="6">
        <v>5</v>
      </c>
    </row>
    <row r="263" spans="1:6" x14ac:dyDescent="0.25">
      <c r="A263" s="13" t="s">
        <v>32</v>
      </c>
      <c r="B263" s="6">
        <v>2003</v>
      </c>
      <c r="C263" s="6">
        <v>25</v>
      </c>
      <c r="D263" s="6">
        <v>280000</v>
      </c>
      <c r="E263" s="6">
        <v>3</v>
      </c>
      <c r="F263" s="6">
        <v>5</v>
      </c>
    </row>
    <row r="264" spans="1:6" x14ac:dyDescent="0.25">
      <c r="A264" s="14" t="s">
        <v>34</v>
      </c>
      <c r="B264" s="6">
        <v>2003</v>
      </c>
      <c r="C264" s="6">
        <v>25</v>
      </c>
      <c r="D264" s="6">
        <v>280000</v>
      </c>
      <c r="E264" s="6">
        <v>3</v>
      </c>
      <c r="F264" s="6">
        <v>5</v>
      </c>
    </row>
    <row r="265" spans="1:6" x14ac:dyDescent="0.25">
      <c r="A265" s="8" t="s">
        <v>100</v>
      </c>
      <c r="B265" s="6">
        <v>2031</v>
      </c>
      <c r="C265" s="6">
        <v>34</v>
      </c>
      <c r="D265" s="6">
        <v>180000</v>
      </c>
      <c r="E265" s="6">
        <v>1</v>
      </c>
      <c r="F265" s="6">
        <v>3</v>
      </c>
    </row>
    <row r="266" spans="1:6" x14ac:dyDescent="0.25">
      <c r="A266" s="9" t="s">
        <v>15</v>
      </c>
      <c r="B266" s="6">
        <v>2031</v>
      </c>
      <c r="C266" s="6">
        <v>34</v>
      </c>
      <c r="D266" s="6">
        <v>180000</v>
      </c>
      <c r="E266" s="6">
        <v>1</v>
      </c>
      <c r="F266" s="6">
        <v>3</v>
      </c>
    </row>
    <row r="267" spans="1:6" x14ac:dyDescent="0.25">
      <c r="A267" s="10" t="s">
        <v>16</v>
      </c>
      <c r="B267" s="6">
        <v>2031</v>
      </c>
      <c r="C267" s="6">
        <v>34</v>
      </c>
      <c r="D267" s="6">
        <v>180000</v>
      </c>
      <c r="E267" s="6">
        <v>1</v>
      </c>
      <c r="F267" s="6">
        <v>3</v>
      </c>
    </row>
    <row r="268" spans="1:6" x14ac:dyDescent="0.25">
      <c r="A268" s="11" t="s">
        <v>31</v>
      </c>
      <c r="B268" s="6">
        <v>2031</v>
      </c>
      <c r="C268" s="6">
        <v>34</v>
      </c>
      <c r="D268" s="6">
        <v>180000</v>
      </c>
      <c r="E268" s="6">
        <v>1</v>
      </c>
      <c r="F268" s="6">
        <v>3</v>
      </c>
    </row>
    <row r="269" spans="1:6" x14ac:dyDescent="0.25">
      <c r="A269" s="12" t="s">
        <v>33</v>
      </c>
      <c r="B269" s="6">
        <v>2031</v>
      </c>
      <c r="C269" s="6">
        <v>34</v>
      </c>
      <c r="D269" s="6">
        <v>180000</v>
      </c>
      <c r="E269" s="6">
        <v>1</v>
      </c>
      <c r="F269" s="6">
        <v>3</v>
      </c>
    </row>
    <row r="270" spans="1:6" x14ac:dyDescent="0.25">
      <c r="A270" s="13" t="s">
        <v>18</v>
      </c>
      <c r="B270" s="6">
        <v>2031</v>
      </c>
      <c r="C270" s="6">
        <v>34</v>
      </c>
      <c r="D270" s="6">
        <v>180000</v>
      </c>
      <c r="E270" s="6">
        <v>1</v>
      </c>
      <c r="F270" s="6">
        <v>3</v>
      </c>
    </row>
    <row r="271" spans="1:6" x14ac:dyDescent="0.25">
      <c r="A271" s="14" t="s">
        <v>101</v>
      </c>
      <c r="B271" s="6">
        <v>2031</v>
      </c>
      <c r="C271" s="6">
        <v>34</v>
      </c>
      <c r="D271" s="6">
        <v>180000</v>
      </c>
      <c r="E271" s="6">
        <v>1</v>
      </c>
      <c r="F271" s="6">
        <v>3</v>
      </c>
    </row>
    <row r="272" spans="1:6" x14ac:dyDescent="0.25">
      <c r="A272" s="8" t="s">
        <v>104</v>
      </c>
      <c r="B272" s="6">
        <v>2033</v>
      </c>
      <c r="C272" s="6">
        <v>36</v>
      </c>
      <c r="D272" s="6">
        <v>280000</v>
      </c>
      <c r="E272" s="6">
        <v>3</v>
      </c>
      <c r="F272" s="6">
        <v>5</v>
      </c>
    </row>
    <row r="273" spans="1:6" x14ac:dyDescent="0.25">
      <c r="A273" s="9" t="s">
        <v>29</v>
      </c>
      <c r="B273" s="6">
        <v>2033</v>
      </c>
      <c r="C273" s="6">
        <v>36</v>
      </c>
      <c r="D273" s="6">
        <v>280000</v>
      </c>
      <c r="E273" s="6">
        <v>3</v>
      </c>
      <c r="F273" s="6">
        <v>5</v>
      </c>
    </row>
    <row r="274" spans="1:6" x14ac:dyDescent="0.25">
      <c r="A274" s="10" t="s">
        <v>30</v>
      </c>
      <c r="B274" s="6">
        <v>2033</v>
      </c>
      <c r="C274" s="6">
        <v>36</v>
      </c>
      <c r="D274" s="6">
        <v>280000</v>
      </c>
      <c r="E274" s="6">
        <v>3</v>
      </c>
      <c r="F274" s="6">
        <v>5</v>
      </c>
    </row>
    <row r="275" spans="1:6" x14ac:dyDescent="0.25">
      <c r="A275" s="11" t="s">
        <v>17</v>
      </c>
      <c r="B275" s="6">
        <v>2033</v>
      </c>
      <c r="C275" s="6">
        <v>36</v>
      </c>
      <c r="D275" s="6">
        <v>280000</v>
      </c>
      <c r="E275" s="6">
        <v>3</v>
      </c>
      <c r="F275" s="6">
        <v>5</v>
      </c>
    </row>
    <row r="276" spans="1:6" x14ac:dyDescent="0.25">
      <c r="A276" s="12" t="s">
        <v>19</v>
      </c>
      <c r="B276" s="6">
        <v>2033</v>
      </c>
      <c r="C276" s="6">
        <v>36</v>
      </c>
      <c r="D276" s="6">
        <v>280000</v>
      </c>
      <c r="E276" s="6">
        <v>3</v>
      </c>
      <c r="F276" s="6">
        <v>5</v>
      </c>
    </row>
    <row r="277" spans="1:6" x14ac:dyDescent="0.25">
      <c r="A277" s="13" t="s">
        <v>32</v>
      </c>
      <c r="B277" s="6">
        <v>2033</v>
      </c>
      <c r="C277" s="6">
        <v>36</v>
      </c>
      <c r="D277" s="6">
        <v>280000</v>
      </c>
      <c r="E277" s="6">
        <v>3</v>
      </c>
      <c r="F277" s="6">
        <v>5</v>
      </c>
    </row>
    <row r="278" spans="1:6" x14ac:dyDescent="0.25">
      <c r="A278" s="14" t="s">
        <v>105</v>
      </c>
      <c r="B278" s="6">
        <v>2033</v>
      </c>
      <c r="C278" s="6">
        <v>36</v>
      </c>
      <c r="D278" s="6">
        <v>280000</v>
      </c>
      <c r="E278" s="6">
        <v>3</v>
      </c>
      <c r="F278" s="6">
        <v>5</v>
      </c>
    </row>
    <row r="279" spans="1:6" x14ac:dyDescent="0.25">
      <c r="A279" s="8" t="s">
        <v>108</v>
      </c>
      <c r="B279" s="6">
        <v>2035</v>
      </c>
      <c r="C279" s="6">
        <v>38</v>
      </c>
      <c r="D279" s="6">
        <v>380000</v>
      </c>
      <c r="E279" s="6">
        <v>5</v>
      </c>
      <c r="F279" s="6">
        <v>4</v>
      </c>
    </row>
    <row r="280" spans="1:6" x14ac:dyDescent="0.25">
      <c r="A280" s="9" t="s">
        <v>43</v>
      </c>
      <c r="B280" s="6">
        <v>2035</v>
      </c>
      <c r="C280" s="6">
        <v>38</v>
      </c>
      <c r="D280" s="6">
        <v>380000</v>
      </c>
      <c r="E280" s="6">
        <v>5</v>
      </c>
      <c r="F280" s="6">
        <v>4</v>
      </c>
    </row>
    <row r="281" spans="1:6" x14ac:dyDescent="0.25">
      <c r="A281" s="10" t="s">
        <v>44</v>
      </c>
      <c r="B281" s="6">
        <v>2035</v>
      </c>
      <c r="C281" s="6">
        <v>38</v>
      </c>
      <c r="D281" s="6">
        <v>380000</v>
      </c>
      <c r="E281" s="6">
        <v>5</v>
      </c>
      <c r="F281" s="6">
        <v>4</v>
      </c>
    </row>
    <row r="282" spans="1:6" x14ac:dyDescent="0.25">
      <c r="A282" s="11" t="s">
        <v>31</v>
      </c>
      <c r="B282" s="6">
        <v>2035</v>
      </c>
      <c r="C282" s="6">
        <v>38</v>
      </c>
      <c r="D282" s="6">
        <v>380000</v>
      </c>
      <c r="E282" s="6">
        <v>5</v>
      </c>
      <c r="F282" s="6">
        <v>4</v>
      </c>
    </row>
    <row r="283" spans="1:6" x14ac:dyDescent="0.25">
      <c r="A283" s="12" t="s">
        <v>33</v>
      </c>
      <c r="B283" s="6">
        <v>2035</v>
      </c>
      <c r="C283" s="6">
        <v>38</v>
      </c>
      <c r="D283" s="6">
        <v>380000</v>
      </c>
      <c r="E283" s="6">
        <v>5</v>
      </c>
      <c r="F283" s="6">
        <v>4</v>
      </c>
    </row>
    <row r="284" spans="1:6" x14ac:dyDescent="0.25">
      <c r="A284" s="13" t="s">
        <v>45</v>
      </c>
      <c r="B284" s="6">
        <v>2035</v>
      </c>
      <c r="C284" s="6">
        <v>38</v>
      </c>
      <c r="D284" s="6">
        <v>380000</v>
      </c>
      <c r="E284" s="6">
        <v>5</v>
      </c>
      <c r="F284" s="6">
        <v>4</v>
      </c>
    </row>
    <row r="285" spans="1:6" x14ac:dyDescent="0.25">
      <c r="A285" s="14" t="s">
        <v>109</v>
      </c>
      <c r="B285" s="6">
        <v>2035</v>
      </c>
      <c r="C285" s="6">
        <v>38</v>
      </c>
      <c r="D285" s="6">
        <v>380000</v>
      </c>
      <c r="E285" s="6">
        <v>5</v>
      </c>
      <c r="F285" s="6">
        <v>4</v>
      </c>
    </row>
    <row r="286" spans="1:6" x14ac:dyDescent="0.25">
      <c r="A286" s="8" t="s">
        <v>112</v>
      </c>
      <c r="B286" s="6">
        <v>2037</v>
      </c>
      <c r="C286" s="6">
        <v>40</v>
      </c>
      <c r="D286" s="6">
        <v>480000</v>
      </c>
      <c r="E286" s="6">
        <v>7</v>
      </c>
      <c r="F286" s="6">
        <v>3</v>
      </c>
    </row>
    <row r="287" spans="1:6" x14ac:dyDescent="0.25">
      <c r="A287" s="9" t="s">
        <v>15</v>
      </c>
      <c r="B287" s="6">
        <v>2037</v>
      </c>
      <c r="C287" s="6">
        <v>40</v>
      </c>
      <c r="D287" s="6">
        <v>480000</v>
      </c>
      <c r="E287" s="6">
        <v>7</v>
      </c>
      <c r="F287" s="6">
        <v>3</v>
      </c>
    </row>
    <row r="288" spans="1:6" x14ac:dyDescent="0.25">
      <c r="A288" s="10" t="s">
        <v>16</v>
      </c>
      <c r="B288" s="6">
        <v>2037</v>
      </c>
      <c r="C288" s="6">
        <v>40</v>
      </c>
      <c r="D288" s="6">
        <v>480000</v>
      </c>
      <c r="E288" s="6">
        <v>7</v>
      </c>
      <c r="F288" s="6">
        <v>3</v>
      </c>
    </row>
    <row r="289" spans="1:6" x14ac:dyDescent="0.25">
      <c r="A289" s="11" t="s">
        <v>17</v>
      </c>
      <c r="B289" s="6">
        <v>2037</v>
      </c>
      <c r="C289" s="6">
        <v>40</v>
      </c>
      <c r="D289" s="6">
        <v>480000</v>
      </c>
      <c r="E289" s="6">
        <v>7</v>
      </c>
      <c r="F289" s="6">
        <v>3</v>
      </c>
    </row>
    <row r="290" spans="1:6" x14ac:dyDescent="0.25">
      <c r="A290" s="12" t="s">
        <v>19</v>
      </c>
      <c r="B290" s="6">
        <v>2037</v>
      </c>
      <c r="C290" s="6">
        <v>40</v>
      </c>
      <c r="D290" s="6">
        <v>480000</v>
      </c>
      <c r="E290" s="6">
        <v>7</v>
      </c>
      <c r="F290" s="6">
        <v>3</v>
      </c>
    </row>
    <row r="291" spans="1:6" x14ac:dyDescent="0.25">
      <c r="A291" s="13" t="s">
        <v>18</v>
      </c>
      <c r="B291" s="6">
        <v>2037</v>
      </c>
      <c r="C291" s="6">
        <v>40</v>
      </c>
      <c r="D291" s="6">
        <v>480000</v>
      </c>
      <c r="E291" s="6">
        <v>7</v>
      </c>
      <c r="F291" s="6">
        <v>3</v>
      </c>
    </row>
    <row r="292" spans="1:6" x14ac:dyDescent="0.25">
      <c r="A292" s="14" t="s">
        <v>113</v>
      </c>
      <c r="B292" s="6">
        <v>2037</v>
      </c>
      <c r="C292" s="6">
        <v>40</v>
      </c>
      <c r="D292" s="6">
        <v>480000</v>
      </c>
      <c r="E292" s="6">
        <v>7</v>
      </c>
      <c r="F292" s="6">
        <v>3</v>
      </c>
    </row>
    <row r="293" spans="1:6" x14ac:dyDescent="0.25">
      <c r="A293" s="8" t="s">
        <v>116</v>
      </c>
      <c r="B293" s="6">
        <v>2039</v>
      </c>
      <c r="C293" s="6">
        <v>23</v>
      </c>
      <c r="D293" s="6">
        <v>580000</v>
      </c>
      <c r="E293" s="6">
        <v>9</v>
      </c>
      <c r="F293" s="6">
        <v>5</v>
      </c>
    </row>
    <row r="294" spans="1:6" x14ac:dyDescent="0.25">
      <c r="A294" s="9" t="s">
        <v>29</v>
      </c>
      <c r="B294" s="6">
        <v>2039</v>
      </c>
      <c r="C294" s="6">
        <v>23</v>
      </c>
      <c r="D294" s="6">
        <v>580000</v>
      </c>
      <c r="E294" s="6">
        <v>9</v>
      </c>
      <c r="F294" s="6">
        <v>5</v>
      </c>
    </row>
    <row r="295" spans="1:6" x14ac:dyDescent="0.25">
      <c r="A295" s="10" t="s">
        <v>30</v>
      </c>
      <c r="B295" s="6">
        <v>2039</v>
      </c>
      <c r="C295" s="6">
        <v>23</v>
      </c>
      <c r="D295" s="6">
        <v>580000</v>
      </c>
      <c r="E295" s="6">
        <v>9</v>
      </c>
      <c r="F295" s="6">
        <v>5</v>
      </c>
    </row>
    <row r="296" spans="1:6" x14ac:dyDescent="0.25">
      <c r="A296" s="11" t="s">
        <v>31</v>
      </c>
      <c r="B296" s="6">
        <v>2039</v>
      </c>
      <c r="C296" s="6">
        <v>23</v>
      </c>
      <c r="D296" s="6">
        <v>580000</v>
      </c>
      <c r="E296" s="6">
        <v>9</v>
      </c>
      <c r="F296" s="6">
        <v>5</v>
      </c>
    </row>
    <row r="297" spans="1:6" x14ac:dyDescent="0.25">
      <c r="A297" s="12" t="s">
        <v>33</v>
      </c>
      <c r="B297" s="6">
        <v>2039</v>
      </c>
      <c r="C297" s="6">
        <v>23</v>
      </c>
      <c r="D297" s="6">
        <v>580000</v>
      </c>
      <c r="E297" s="6">
        <v>9</v>
      </c>
      <c r="F297" s="6">
        <v>5</v>
      </c>
    </row>
    <row r="298" spans="1:6" x14ac:dyDescent="0.25">
      <c r="A298" s="13" t="s">
        <v>32</v>
      </c>
      <c r="B298" s="6">
        <v>2039</v>
      </c>
      <c r="C298" s="6">
        <v>23</v>
      </c>
      <c r="D298" s="6">
        <v>580000</v>
      </c>
      <c r="E298" s="6">
        <v>9</v>
      </c>
      <c r="F298" s="6">
        <v>5</v>
      </c>
    </row>
    <row r="299" spans="1:6" x14ac:dyDescent="0.25">
      <c r="A299" s="14" t="s">
        <v>117</v>
      </c>
      <c r="B299" s="6">
        <v>2039</v>
      </c>
      <c r="C299" s="6">
        <v>23</v>
      </c>
      <c r="D299" s="6">
        <v>580000</v>
      </c>
      <c r="E299" s="6">
        <v>9</v>
      </c>
      <c r="F299" s="6">
        <v>5</v>
      </c>
    </row>
    <row r="300" spans="1:6" x14ac:dyDescent="0.25">
      <c r="A300" s="8" t="s">
        <v>120</v>
      </c>
      <c r="B300" s="6">
        <v>2041</v>
      </c>
      <c r="C300" s="6">
        <v>25</v>
      </c>
      <c r="D300" s="6">
        <v>180000</v>
      </c>
      <c r="E300" s="6">
        <v>1</v>
      </c>
      <c r="F300" s="6">
        <v>4</v>
      </c>
    </row>
    <row r="301" spans="1:6" x14ac:dyDescent="0.25">
      <c r="A301" s="9" t="s">
        <v>43</v>
      </c>
      <c r="B301" s="6">
        <v>2041</v>
      </c>
      <c r="C301" s="6">
        <v>25</v>
      </c>
      <c r="D301" s="6">
        <v>180000</v>
      </c>
      <c r="E301" s="6">
        <v>1</v>
      </c>
      <c r="F301" s="6">
        <v>4</v>
      </c>
    </row>
    <row r="302" spans="1:6" x14ac:dyDescent="0.25">
      <c r="A302" s="10" t="s">
        <v>44</v>
      </c>
      <c r="B302" s="6">
        <v>2041</v>
      </c>
      <c r="C302" s="6">
        <v>25</v>
      </c>
      <c r="D302" s="6">
        <v>180000</v>
      </c>
      <c r="E302" s="6">
        <v>1</v>
      </c>
      <c r="F302" s="6">
        <v>4</v>
      </c>
    </row>
    <row r="303" spans="1:6" x14ac:dyDescent="0.25">
      <c r="A303" s="11" t="s">
        <v>17</v>
      </c>
      <c r="B303" s="6">
        <v>2041</v>
      </c>
      <c r="C303" s="6">
        <v>25</v>
      </c>
      <c r="D303" s="6">
        <v>180000</v>
      </c>
      <c r="E303" s="6">
        <v>1</v>
      </c>
      <c r="F303" s="6">
        <v>4</v>
      </c>
    </row>
    <row r="304" spans="1:6" x14ac:dyDescent="0.25">
      <c r="A304" s="12" t="s">
        <v>19</v>
      </c>
      <c r="B304" s="6">
        <v>2041</v>
      </c>
      <c r="C304" s="6">
        <v>25</v>
      </c>
      <c r="D304" s="6">
        <v>180000</v>
      </c>
      <c r="E304" s="6">
        <v>1</v>
      </c>
      <c r="F304" s="6">
        <v>4</v>
      </c>
    </row>
    <row r="305" spans="1:6" x14ac:dyDescent="0.25">
      <c r="A305" s="13" t="s">
        <v>45</v>
      </c>
      <c r="B305" s="6">
        <v>2041</v>
      </c>
      <c r="C305" s="6">
        <v>25</v>
      </c>
      <c r="D305" s="6">
        <v>180000</v>
      </c>
      <c r="E305" s="6">
        <v>1</v>
      </c>
      <c r="F305" s="6">
        <v>4</v>
      </c>
    </row>
    <row r="306" spans="1:6" x14ac:dyDescent="0.25">
      <c r="A306" s="14" t="s">
        <v>121</v>
      </c>
      <c r="B306" s="6">
        <v>2041</v>
      </c>
      <c r="C306" s="6">
        <v>25</v>
      </c>
      <c r="D306" s="6">
        <v>180000</v>
      </c>
      <c r="E306" s="6">
        <v>1</v>
      </c>
      <c r="F306" s="6">
        <v>4</v>
      </c>
    </row>
    <row r="307" spans="1:6" x14ac:dyDescent="0.25">
      <c r="A307" s="8" t="s">
        <v>124</v>
      </c>
      <c r="B307" s="6">
        <v>2043</v>
      </c>
      <c r="C307" s="6">
        <v>27</v>
      </c>
      <c r="D307" s="6">
        <v>280000</v>
      </c>
      <c r="E307" s="6">
        <v>3</v>
      </c>
      <c r="F307" s="6">
        <v>3</v>
      </c>
    </row>
    <row r="308" spans="1:6" x14ac:dyDescent="0.25">
      <c r="A308" s="9" t="s">
        <v>15</v>
      </c>
      <c r="B308" s="6">
        <v>2043</v>
      </c>
      <c r="C308" s="6">
        <v>27</v>
      </c>
      <c r="D308" s="6">
        <v>280000</v>
      </c>
      <c r="E308" s="6">
        <v>3</v>
      </c>
      <c r="F308" s="6">
        <v>3</v>
      </c>
    </row>
    <row r="309" spans="1:6" x14ac:dyDescent="0.25">
      <c r="A309" s="10" t="s">
        <v>16</v>
      </c>
      <c r="B309" s="6">
        <v>2043</v>
      </c>
      <c r="C309" s="6">
        <v>27</v>
      </c>
      <c r="D309" s="6">
        <v>280000</v>
      </c>
      <c r="E309" s="6">
        <v>3</v>
      </c>
      <c r="F309" s="6">
        <v>3</v>
      </c>
    </row>
    <row r="310" spans="1:6" x14ac:dyDescent="0.25">
      <c r="A310" s="11" t="s">
        <v>31</v>
      </c>
      <c r="B310" s="6">
        <v>2043</v>
      </c>
      <c r="C310" s="6">
        <v>27</v>
      </c>
      <c r="D310" s="6">
        <v>280000</v>
      </c>
      <c r="E310" s="6">
        <v>3</v>
      </c>
      <c r="F310" s="6">
        <v>3</v>
      </c>
    </row>
    <row r="311" spans="1:6" x14ac:dyDescent="0.25">
      <c r="A311" s="12" t="s">
        <v>33</v>
      </c>
      <c r="B311" s="6">
        <v>2043</v>
      </c>
      <c r="C311" s="6">
        <v>27</v>
      </c>
      <c r="D311" s="6">
        <v>280000</v>
      </c>
      <c r="E311" s="6">
        <v>3</v>
      </c>
      <c r="F311" s="6">
        <v>3</v>
      </c>
    </row>
    <row r="312" spans="1:6" x14ac:dyDescent="0.25">
      <c r="A312" s="13" t="s">
        <v>18</v>
      </c>
      <c r="B312" s="6">
        <v>2043</v>
      </c>
      <c r="C312" s="6">
        <v>27</v>
      </c>
      <c r="D312" s="6">
        <v>280000</v>
      </c>
      <c r="E312" s="6">
        <v>3</v>
      </c>
      <c r="F312" s="6">
        <v>3</v>
      </c>
    </row>
    <row r="313" spans="1:6" x14ac:dyDescent="0.25">
      <c r="A313" s="14" t="s">
        <v>125</v>
      </c>
      <c r="B313" s="6">
        <v>2043</v>
      </c>
      <c r="C313" s="6">
        <v>27</v>
      </c>
      <c r="D313" s="6">
        <v>280000</v>
      </c>
      <c r="E313" s="6">
        <v>3</v>
      </c>
      <c r="F313" s="6">
        <v>3</v>
      </c>
    </row>
    <row r="314" spans="1:6" x14ac:dyDescent="0.25">
      <c r="A314" s="8" t="s">
        <v>128</v>
      </c>
      <c r="B314" s="6">
        <v>2045</v>
      </c>
      <c r="C314" s="6">
        <v>29</v>
      </c>
      <c r="D314" s="6">
        <v>380000</v>
      </c>
      <c r="E314" s="6">
        <v>5</v>
      </c>
      <c r="F314" s="6">
        <v>5</v>
      </c>
    </row>
    <row r="315" spans="1:6" x14ac:dyDescent="0.25">
      <c r="A315" s="9" t="s">
        <v>29</v>
      </c>
      <c r="B315" s="6">
        <v>2045</v>
      </c>
      <c r="C315" s="6">
        <v>29</v>
      </c>
      <c r="D315" s="6">
        <v>380000</v>
      </c>
      <c r="E315" s="6">
        <v>5</v>
      </c>
      <c r="F315" s="6">
        <v>5</v>
      </c>
    </row>
    <row r="316" spans="1:6" x14ac:dyDescent="0.25">
      <c r="A316" s="10" t="s">
        <v>30</v>
      </c>
      <c r="B316" s="6">
        <v>2045</v>
      </c>
      <c r="C316" s="6">
        <v>29</v>
      </c>
      <c r="D316" s="6">
        <v>380000</v>
      </c>
      <c r="E316" s="6">
        <v>5</v>
      </c>
      <c r="F316" s="6">
        <v>5</v>
      </c>
    </row>
    <row r="317" spans="1:6" x14ac:dyDescent="0.25">
      <c r="A317" s="11" t="s">
        <v>17</v>
      </c>
      <c r="B317" s="6">
        <v>2045</v>
      </c>
      <c r="C317" s="6">
        <v>29</v>
      </c>
      <c r="D317" s="6">
        <v>380000</v>
      </c>
      <c r="E317" s="6">
        <v>5</v>
      </c>
      <c r="F317" s="6">
        <v>5</v>
      </c>
    </row>
    <row r="318" spans="1:6" x14ac:dyDescent="0.25">
      <c r="A318" s="12" t="s">
        <v>19</v>
      </c>
      <c r="B318" s="6">
        <v>2045</v>
      </c>
      <c r="C318" s="6">
        <v>29</v>
      </c>
      <c r="D318" s="6">
        <v>380000</v>
      </c>
      <c r="E318" s="6">
        <v>5</v>
      </c>
      <c r="F318" s="6">
        <v>5</v>
      </c>
    </row>
    <row r="319" spans="1:6" x14ac:dyDescent="0.25">
      <c r="A319" s="13" t="s">
        <v>32</v>
      </c>
      <c r="B319" s="6">
        <v>2045</v>
      </c>
      <c r="C319" s="6">
        <v>29</v>
      </c>
      <c r="D319" s="6">
        <v>380000</v>
      </c>
      <c r="E319" s="6">
        <v>5</v>
      </c>
      <c r="F319" s="6">
        <v>5</v>
      </c>
    </row>
    <row r="320" spans="1:6" x14ac:dyDescent="0.25">
      <c r="A320" s="14" t="s">
        <v>129</v>
      </c>
      <c r="B320" s="6">
        <v>2045</v>
      </c>
      <c r="C320" s="6">
        <v>29</v>
      </c>
      <c r="D320" s="6">
        <v>380000</v>
      </c>
      <c r="E320" s="6">
        <v>5</v>
      </c>
      <c r="F320" s="6">
        <v>5</v>
      </c>
    </row>
    <row r="321" spans="1:6" x14ac:dyDescent="0.25">
      <c r="A321" s="8" t="s">
        <v>132</v>
      </c>
      <c r="B321" s="6">
        <v>2047</v>
      </c>
      <c r="C321" s="6">
        <v>31</v>
      </c>
      <c r="D321" s="6">
        <v>480000</v>
      </c>
      <c r="E321" s="6">
        <v>7</v>
      </c>
      <c r="F321" s="6">
        <v>4</v>
      </c>
    </row>
    <row r="322" spans="1:6" x14ac:dyDescent="0.25">
      <c r="A322" s="9" t="s">
        <v>43</v>
      </c>
      <c r="B322" s="6">
        <v>2047</v>
      </c>
      <c r="C322" s="6">
        <v>31</v>
      </c>
      <c r="D322" s="6">
        <v>480000</v>
      </c>
      <c r="E322" s="6">
        <v>7</v>
      </c>
      <c r="F322" s="6">
        <v>4</v>
      </c>
    </row>
    <row r="323" spans="1:6" x14ac:dyDescent="0.25">
      <c r="A323" s="10" t="s">
        <v>44</v>
      </c>
      <c r="B323" s="6">
        <v>2047</v>
      </c>
      <c r="C323" s="6">
        <v>31</v>
      </c>
      <c r="D323" s="6">
        <v>480000</v>
      </c>
      <c r="E323" s="6">
        <v>7</v>
      </c>
      <c r="F323" s="6">
        <v>4</v>
      </c>
    </row>
    <row r="324" spans="1:6" x14ac:dyDescent="0.25">
      <c r="A324" s="11" t="s">
        <v>31</v>
      </c>
      <c r="B324" s="6">
        <v>2047</v>
      </c>
      <c r="C324" s="6">
        <v>31</v>
      </c>
      <c r="D324" s="6">
        <v>480000</v>
      </c>
      <c r="E324" s="6">
        <v>7</v>
      </c>
      <c r="F324" s="6">
        <v>4</v>
      </c>
    </row>
    <row r="325" spans="1:6" x14ac:dyDescent="0.25">
      <c r="A325" s="12" t="s">
        <v>33</v>
      </c>
      <c r="B325" s="6">
        <v>2047</v>
      </c>
      <c r="C325" s="6">
        <v>31</v>
      </c>
      <c r="D325" s="6">
        <v>480000</v>
      </c>
      <c r="E325" s="6">
        <v>7</v>
      </c>
      <c r="F325" s="6">
        <v>4</v>
      </c>
    </row>
    <row r="326" spans="1:6" x14ac:dyDescent="0.25">
      <c r="A326" s="13" t="s">
        <v>45</v>
      </c>
      <c r="B326" s="6">
        <v>2047</v>
      </c>
      <c r="C326" s="6">
        <v>31</v>
      </c>
      <c r="D326" s="6">
        <v>480000</v>
      </c>
      <c r="E326" s="6">
        <v>7</v>
      </c>
      <c r="F326" s="6">
        <v>4</v>
      </c>
    </row>
    <row r="327" spans="1:6" x14ac:dyDescent="0.25">
      <c r="A327" s="14" t="s">
        <v>133</v>
      </c>
      <c r="B327" s="6">
        <v>2047</v>
      </c>
      <c r="C327" s="6">
        <v>31</v>
      </c>
      <c r="D327" s="6">
        <v>480000</v>
      </c>
      <c r="E327" s="6">
        <v>7</v>
      </c>
      <c r="F327" s="6">
        <v>4</v>
      </c>
    </row>
    <row r="328" spans="1:6" x14ac:dyDescent="0.25">
      <c r="A328" s="8" t="s">
        <v>136</v>
      </c>
      <c r="B328" s="6">
        <v>2049</v>
      </c>
      <c r="C328" s="6">
        <v>33</v>
      </c>
      <c r="D328" s="6">
        <v>580000</v>
      </c>
      <c r="E328" s="6">
        <v>9</v>
      </c>
      <c r="F328" s="6">
        <v>3</v>
      </c>
    </row>
    <row r="329" spans="1:6" x14ac:dyDescent="0.25">
      <c r="A329" s="9" t="s">
        <v>15</v>
      </c>
      <c r="B329" s="6">
        <v>2049</v>
      </c>
      <c r="C329" s="6">
        <v>33</v>
      </c>
      <c r="D329" s="6">
        <v>580000</v>
      </c>
      <c r="E329" s="6">
        <v>9</v>
      </c>
      <c r="F329" s="6">
        <v>3</v>
      </c>
    </row>
    <row r="330" spans="1:6" x14ac:dyDescent="0.25">
      <c r="A330" s="10" t="s">
        <v>16</v>
      </c>
      <c r="B330" s="6">
        <v>2049</v>
      </c>
      <c r="C330" s="6">
        <v>33</v>
      </c>
      <c r="D330" s="6">
        <v>580000</v>
      </c>
      <c r="E330" s="6">
        <v>9</v>
      </c>
      <c r="F330" s="6">
        <v>3</v>
      </c>
    </row>
    <row r="331" spans="1:6" x14ac:dyDescent="0.25">
      <c r="A331" s="11" t="s">
        <v>17</v>
      </c>
      <c r="B331" s="6">
        <v>2049</v>
      </c>
      <c r="C331" s="6">
        <v>33</v>
      </c>
      <c r="D331" s="6">
        <v>580000</v>
      </c>
      <c r="E331" s="6">
        <v>9</v>
      </c>
      <c r="F331" s="6">
        <v>3</v>
      </c>
    </row>
    <row r="332" spans="1:6" x14ac:dyDescent="0.25">
      <c r="A332" s="12" t="s">
        <v>19</v>
      </c>
      <c r="B332" s="6">
        <v>2049</v>
      </c>
      <c r="C332" s="6">
        <v>33</v>
      </c>
      <c r="D332" s="6">
        <v>580000</v>
      </c>
      <c r="E332" s="6">
        <v>9</v>
      </c>
      <c r="F332" s="6">
        <v>3</v>
      </c>
    </row>
    <row r="333" spans="1:6" x14ac:dyDescent="0.25">
      <c r="A333" s="13" t="s">
        <v>18</v>
      </c>
      <c r="B333" s="6">
        <v>2049</v>
      </c>
      <c r="C333" s="6">
        <v>33</v>
      </c>
      <c r="D333" s="6">
        <v>580000</v>
      </c>
      <c r="E333" s="6">
        <v>9</v>
      </c>
      <c r="F333" s="6">
        <v>3</v>
      </c>
    </row>
    <row r="334" spans="1:6" x14ac:dyDescent="0.25">
      <c r="A334" s="14" t="s">
        <v>137</v>
      </c>
      <c r="B334" s="6">
        <v>2049</v>
      </c>
      <c r="C334" s="6">
        <v>33</v>
      </c>
      <c r="D334" s="6">
        <v>580000</v>
      </c>
      <c r="E334" s="6">
        <v>9</v>
      </c>
      <c r="F334" s="6">
        <v>3</v>
      </c>
    </row>
    <row r="335" spans="1:6" x14ac:dyDescent="0.25">
      <c r="A335" s="8" t="s">
        <v>42</v>
      </c>
      <c r="B335" s="6">
        <v>2005</v>
      </c>
      <c r="C335" s="6">
        <v>27</v>
      </c>
      <c r="D335" s="6">
        <v>380000</v>
      </c>
      <c r="E335" s="6">
        <v>5</v>
      </c>
      <c r="F335" s="6">
        <v>4</v>
      </c>
    </row>
    <row r="336" spans="1:6" x14ac:dyDescent="0.25">
      <c r="A336" s="9" t="s">
        <v>43</v>
      </c>
      <c r="B336" s="6">
        <v>2005</v>
      </c>
      <c r="C336" s="6">
        <v>27</v>
      </c>
      <c r="D336" s="6">
        <v>380000</v>
      </c>
      <c r="E336" s="6">
        <v>5</v>
      </c>
      <c r="F336" s="6">
        <v>4</v>
      </c>
    </row>
    <row r="337" spans="1:6" x14ac:dyDescent="0.25">
      <c r="A337" s="10" t="s">
        <v>44</v>
      </c>
      <c r="B337" s="6">
        <v>2005</v>
      </c>
      <c r="C337" s="6">
        <v>27</v>
      </c>
      <c r="D337" s="6">
        <v>380000</v>
      </c>
      <c r="E337" s="6">
        <v>5</v>
      </c>
      <c r="F337" s="6">
        <v>4</v>
      </c>
    </row>
    <row r="338" spans="1:6" x14ac:dyDescent="0.25">
      <c r="A338" s="11" t="s">
        <v>17</v>
      </c>
      <c r="B338" s="6">
        <v>2005</v>
      </c>
      <c r="C338" s="6">
        <v>27</v>
      </c>
      <c r="D338" s="6">
        <v>380000</v>
      </c>
      <c r="E338" s="6">
        <v>5</v>
      </c>
      <c r="F338" s="6">
        <v>4</v>
      </c>
    </row>
    <row r="339" spans="1:6" x14ac:dyDescent="0.25">
      <c r="A339" s="12" t="s">
        <v>19</v>
      </c>
      <c r="B339" s="6">
        <v>2005</v>
      </c>
      <c r="C339" s="6">
        <v>27</v>
      </c>
      <c r="D339" s="6">
        <v>380000</v>
      </c>
      <c r="E339" s="6">
        <v>5</v>
      </c>
      <c r="F339" s="6">
        <v>4</v>
      </c>
    </row>
    <row r="340" spans="1:6" x14ac:dyDescent="0.25">
      <c r="A340" s="13" t="s">
        <v>45</v>
      </c>
      <c r="B340" s="6">
        <v>2005</v>
      </c>
      <c r="C340" s="6">
        <v>27</v>
      </c>
      <c r="D340" s="6">
        <v>380000</v>
      </c>
      <c r="E340" s="6">
        <v>5</v>
      </c>
      <c r="F340" s="6">
        <v>4</v>
      </c>
    </row>
    <row r="341" spans="1:6" x14ac:dyDescent="0.25">
      <c r="A341" s="14" t="s">
        <v>46</v>
      </c>
      <c r="B341" s="6">
        <v>2005</v>
      </c>
      <c r="C341" s="6">
        <v>27</v>
      </c>
      <c r="D341" s="6">
        <v>380000</v>
      </c>
      <c r="E341" s="6">
        <v>5</v>
      </c>
      <c r="F341" s="6">
        <v>4</v>
      </c>
    </row>
    <row r="342" spans="1:6" x14ac:dyDescent="0.25">
      <c r="A342" s="8" t="s">
        <v>52</v>
      </c>
      <c r="B342" s="6">
        <v>2007</v>
      </c>
      <c r="C342" s="6">
        <v>29</v>
      </c>
      <c r="D342" s="6">
        <v>480000</v>
      </c>
      <c r="E342" s="6">
        <v>7</v>
      </c>
      <c r="F342" s="6">
        <v>3</v>
      </c>
    </row>
    <row r="343" spans="1:6" x14ac:dyDescent="0.25">
      <c r="A343" s="9" t="s">
        <v>15</v>
      </c>
      <c r="B343" s="6">
        <v>2007</v>
      </c>
      <c r="C343" s="6">
        <v>29</v>
      </c>
      <c r="D343" s="6">
        <v>480000</v>
      </c>
      <c r="E343" s="6">
        <v>7</v>
      </c>
      <c r="F343" s="6">
        <v>3</v>
      </c>
    </row>
    <row r="344" spans="1:6" x14ac:dyDescent="0.25">
      <c r="A344" s="10" t="s">
        <v>16</v>
      </c>
      <c r="B344" s="6">
        <v>2007</v>
      </c>
      <c r="C344" s="6">
        <v>29</v>
      </c>
      <c r="D344" s="6">
        <v>480000</v>
      </c>
      <c r="E344" s="6">
        <v>7</v>
      </c>
      <c r="F344" s="6">
        <v>3</v>
      </c>
    </row>
    <row r="345" spans="1:6" x14ac:dyDescent="0.25">
      <c r="A345" s="11" t="s">
        <v>31</v>
      </c>
      <c r="B345" s="6">
        <v>2007</v>
      </c>
      <c r="C345" s="6">
        <v>29</v>
      </c>
      <c r="D345" s="6">
        <v>480000</v>
      </c>
      <c r="E345" s="6">
        <v>7</v>
      </c>
      <c r="F345" s="6">
        <v>3</v>
      </c>
    </row>
    <row r="346" spans="1:6" x14ac:dyDescent="0.25">
      <c r="A346" s="12" t="s">
        <v>33</v>
      </c>
      <c r="B346" s="6">
        <v>2007</v>
      </c>
      <c r="C346" s="6">
        <v>29</v>
      </c>
      <c r="D346" s="6">
        <v>480000</v>
      </c>
      <c r="E346" s="6">
        <v>7</v>
      </c>
      <c r="F346" s="6">
        <v>3</v>
      </c>
    </row>
    <row r="347" spans="1:6" x14ac:dyDescent="0.25">
      <c r="A347" s="13" t="s">
        <v>18</v>
      </c>
      <c r="B347" s="6">
        <v>2007</v>
      </c>
      <c r="C347" s="6">
        <v>29</v>
      </c>
      <c r="D347" s="6">
        <v>480000</v>
      </c>
      <c r="E347" s="6">
        <v>7</v>
      </c>
      <c r="F347" s="6">
        <v>3</v>
      </c>
    </row>
    <row r="348" spans="1:6" x14ac:dyDescent="0.25">
      <c r="A348" s="14" t="s">
        <v>53</v>
      </c>
      <c r="B348" s="6">
        <v>2007</v>
      </c>
      <c r="C348" s="6">
        <v>29</v>
      </c>
      <c r="D348" s="6">
        <v>480000</v>
      </c>
      <c r="E348" s="6">
        <v>7</v>
      </c>
      <c r="F348" s="6">
        <v>3</v>
      </c>
    </row>
    <row r="349" spans="1:6" x14ac:dyDescent="0.25">
      <c r="A349" s="8" t="s">
        <v>56</v>
      </c>
      <c r="B349" s="6">
        <v>2009</v>
      </c>
      <c r="C349" s="6">
        <v>31</v>
      </c>
      <c r="D349" s="6">
        <v>580000</v>
      </c>
      <c r="E349" s="6">
        <v>9</v>
      </c>
      <c r="F349" s="6">
        <v>5</v>
      </c>
    </row>
    <row r="350" spans="1:6" x14ac:dyDescent="0.25">
      <c r="A350" s="9" t="s">
        <v>29</v>
      </c>
      <c r="B350" s="6">
        <v>2009</v>
      </c>
      <c r="C350" s="6">
        <v>31</v>
      </c>
      <c r="D350" s="6">
        <v>580000</v>
      </c>
      <c r="E350" s="6">
        <v>9</v>
      </c>
      <c r="F350" s="6">
        <v>5</v>
      </c>
    </row>
    <row r="351" spans="1:6" x14ac:dyDescent="0.25">
      <c r="A351" s="10" t="s">
        <v>30</v>
      </c>
      <c r="B351" s="6">
        <v>2009</v>
      </c>
      <c r="C351" s="6">
        <v>31</v>
      </c>
      <c r="D351" s="6">
        <v>580000</v>
      </c>
      <c r="E351" s="6">
        <v>9</v>
      </c>
      <c r="F351" s="6">
        <v>5</v>
      </c>
    </row>
    <row r="352" spans="1:6" x14ac:dyDescent="0.25">
      <c r="A352" s="11" t="s">
        <v>17</v>
      </c>
      <c r="B352" s="6">
        <v>2009</v>
      </c>
      <c r="C352" s="6">
        <v>31</v>
      </c>
      <c r="D352" s="6">
        <v>580000</v>
      </c>
      <c r="E352" s="6">
        <v>9</v>
      </c>
      <c r="F352" s="6">
        <v>5</v>
      </c>
    </row>
    <row r="353" spans="1:6" x14ac:dyDescent="0.25">
      <c r="A353" s="12" t="s">
        <v>19</v>
      </c>
      <c r="B353" s="6">
        <v>2009</v>
      </c>
      <c r="C353" s="6">
        <v>31</v>
      </c>
      <c r="D353" s="6">
        <v>580000</v>
      </c>
      <c r="E353" s="6">
        <v>9</v>
      </c>
      <c r="F353" s="6">
        <v>5</v>
      </c>
    </row>
    <row r="354" spans="1:6" x14ac:dyDescent="0.25">
      <c r="A354" s="13" t="s">
        <v>32</v>
      </c>
      <c r="B354" s="6">
        <v>2009</v>
      </c>
      <c r="C354" s="6">
        <v>31</v>
      </c>
      <c r="D354" s="6">
        <v>580000</v>
      </c>
      <c r="E354" s="6">
        <v>9</v>
      </c>
      <c r="F354" s="6">
        <v>5</v>
      </c>
    </row>
    <row r="355" spans="1:6" x14ac:dyDescent="0.25">
      <c r="A355" s="14" t="s">
        <v>57</v>
      </c>
      <c r="B355" s="6">
        <v>2009</v>
      </c>
      <c r="C355" s="6">
        <v>31</v>
      </c>
      <c r="D355" s="6">
        <v>580000</v>
      </c>
      <c r="E355" s="6">
        <v>9</v>
      </c>
      <c r="F355" s="6">
        <v>5</v>
      </c>
    </row>
    <row r="356" spans="1:6" x14ac:dyDescent="0.25">
      <c r="A356" s="4" t="s">
        <v>151</v>
      </c>
      <c r="B356" s="6">
        <v>101275</v>
      </c>
      <c r="C356" s="6">
        <v>1520</v>
      </c>
      <c r="D356" s="6">
        <v>20250000</v>
      </c>
      <c r="E356" s="6">
        <v>275</v>
      </c>
      <c r="F356" s="6">
        <v>199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opLeftCell="A40" workbookViewId="0">
      <selection activeCell="A2" sqref="A2:M51"/>
    </sheetView>
  </sheetViews>
  <sheetFormatPr defaultRowHeight="15" x14ac:dyDescent="0.25"/>
  <cols>
    <col min="1" max="1" width="26.42578125" style="1" bestFit="1" customWidth="1"/>
    <col min="2" max="2" width="17.7109375" bestFit="1" customWidth="1"/>
    <col min="5" max="5" width="12.85546875" bestFit="1" customWidth="1"/>
    <col min="6" max="6" width="17.7109375" bestFit="1" customWidth="1"/>
    <col min="8" max="8" width="18.140625" style="1" bestFit="1" customWidth="1"/>
    <col min="9" max="9" width="21.42578125" style="1" bestFit="1" customWidth="1"/>
    <col min="10" max="10" width="9.7109375" bestFit="1" customWidth="1"/>
    <col min="11" max="11" width="12.7109375" bestFit="1" customWidth="1"/>
    <col min="12" max="12" width="21" bestFit="1" customWidth="1"/>
    <col min="13" max="13" width="10.7109375" bestFit="1" customWidth="1"/>
  </cols>
  <sheetData>
    <row r="1" spans="1:13" s="3" customFormat="1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>
        <v>2001</v>
      </c>
      <c r="B2" t="s">
        <v>13</v>
      </c>
      <c r="C2" t="s">
        <v>14</v>
      </c>
      <c r="D2">
        <v>23</v>
      </c>
      <c r="E2" t="s">
        <v>15</v>
      </c>
      <c r="F2" t="s">
        <v>16</v>
      </c>
      <c r="G2">
        <v>180000</v>
      </c>
      <c r="H2" s="1">
        <v>1</v>
      </c>
      <c r="I2" s="1">
        <v>3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s="1">
        <v>2002</v>
      </c>
      <c r="B3" t="s">
        <v>21</v>
      </c>
      <c r="C3" t="s">
        <v>22</v>
      </c>
      <c r="D3">
        <v>24</v>
      </c>
      <c r="E3" t="s">
        <v>23</v>
      </c>
      <c r="F3" t="s">
        <v>24</v>
      </c>
      <c r="G3">
        <v>230000</v>
      </c>
      <c r="H3" s="1">
        <v>2</v>
      </c>
      <c r="I3" s="1">
        <v>4</v>
      </c>
      <c r="J3" t="s">
        <v>25</v>
      </c>
      <c r="K3" t="s">
        <v>26</v>
      </c>
      <c r="L3" t="s">
        <v>19</v>
      </c>
      <c r="M3" t="s">
        <v>27</v>
      </c>
    </row>
    <row r="4" spans="1:13" x14ac:dyDescent="0.25">
      <c r="A4" s="1">
        <v>2003</v>
      </c>
      <c r="B4" t="s">
        <v>28</v>
      </c>
      <c r="C4" t="s">
        <v>14</v>
      </c>
      <c r="D4">
        <v>25</v>
      </c>
      <c r="E4" t="s">
        <v>29</v>
      </c>
      <c r="F4" t="s">
        <v>30</v>
      </c>
      <c r="G4">
        <v>280000</v>
      </c>
      <c r="H4" s="1">
        <v>3</v>
      </c>
      <c r="I4" s="1">
        <v>5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25">
      <c r="A5" s="1">
        <v>2004</v>
      </c>
      <c r="B5" t="s">
        <v>35</v>
      </c>
      <c r="C5" t="s">
        <v>22</v>
      </c>
      <c r="D5">
        <v>26</v>
      </c>
      <c r="E5" t="s">
        <v>36</v>
      </c>
      <c r="F5" t="s">
        <v>37</v>
      </c>
      <c r="G5">
        <v>330000</v>
      </c>
      <c r="H5" s="1">
        <v>4</v>
      </c>
      <c r="I5" s="1">
        <v>3</v>
      </c>
      <c r="J5" t="s">
        <v>38</v>
      </c>
      <c r="K5" t="s">
        <v>39</v>
      </c>
      <c r="L5" t="s">
        <v>40</v>
      </c>
      <c r="M5" t="s">
        <v>41</v>
      </c>
    </row>
    <row r="6" spans="1:13" x14ac:dyDescent="0.25">
      <c r="A6" s="1">
        <v>2005</v>
      </c>
      <c r="B6" t="s">
        <v>42</v>
      </c>
      <c r="C6" t="s">
        <v>14</v>
      </c>
      <c r="D6">
        <v>27</v>
      </c>
      <c r="E6" t="s">
        <v>43</v>
      </c>
      <c r="F6" t="s">
        <v>44</v>
      </c>
      <c r="G6">
        <v>380000</v>
      </c>
      <c r="H6" s="1">
        <v>5</v>
      </c>
      <c r="I6" s="1">
        <v>4</v>
      </c>
      <c r="J6" t="s">
        <v>17</v>
      </c>
      <c r="K6" t="s">
        <v>45</v>
      </c>
      <c r="L6" t="s">
        <v>19</v>
      </c>
      <c r="M6" t="s">
        <v>46</v>
      </c>
    </row>
    <row r="7" spans="1:13" x14ac:dyDescent="0.25">
      <c r="A7" s="1">
        <v>2006</v>
      </c>
      <c r="B7" t="s">
        <v>47</v>
      </c>
      <c r="C7" t="s">
        <v>22</v>
      </c>
      <c r="D7">
        <v>28</v>
      </c>
      <c r="E7" t="s">
        <v>48</v>
      </c>
      <c r="F7" t="s">
        <v>49</v>
      </c>
      <c r="G7">
        <v>430000</v>
      </c>
      <c r="H7" s="1">
        <v>6</v>
      </c>
      <c r="I7" s="1">
        <v>5</v>
      </c>
      <c r="J7" t="s">
        <v>25</v>
      </c>
      <c r="K7" t="s">
        <v>50</v>
      </c>
      <c r="L7" t="s">
        <v>19</v>
      </c>
      <c r="M7" t="s">
        <v>51</v>
      </c>
    </row>
    <row r="8" spans="1:13" x14ac:dyDescent="0.25">
      <c r="A8" s="1">
        <v>2007</v>
      </c>
      <c r="B8" t="s">
        <v>52</v>
      </c>
      <c r="C8" t="s">
        <v>14</v>
      </c>
      <c r="D8">
        <v>29</v>
      </c>
      <c r="E8" t="s">
        <v>15</v>
      </c>
      <c r="F8" t="s">
        <v>16</v>
      </c>
      <c r="G8">
        <v>480000</v>
      </c>
      <c r="H8" s="1">
        <v>7</v>
      </c>
      <c r="I8" s="1">
        <v>3</v>
      </c>
      <c r="J8" t="s">
        <v>31</v>
      </c>
      <c r="K8" t="s">
        <v>18</v>
      </c>
      <c r="L8" t="s">
        <v>33</v>
      </c>
      <c r="M8" t="s">
        <v>53</v>
      </c>
    </row>
    <row r="9" spans="1:13" x14ac:dyDescent="0.25">
      <c r="A9" s="1">
        <v>2008</v>
      </c>
      <c r="B9" t="s">
        <v>54</v>
      </c>
      <c r="C9" t="s">
        <v>22</v>
      </c>
      <c r="D9">
        <v>30</v>
      </c>
      <c r="E9" t="s">
        <v>23</v>
      </c>
      <c r="F9" t="s">
        <v>24</v>
      </c>
      <c r="G9">
        <v>530000</v>
      </c>
      <c r="H9" s="1">
        <v>8</v>
      </c>
      <c r="I9" s="1">
        <v>4</v>
      </c>
      <c r="J9" t="s">
        <v>38</v>
      </c>
      <c r="K9" t="s">
        <v>26</v>
      </c>
      <c r="L9" t="s">
        <v>40</v>
      </c>
      <c r="M9" t="s">
        <v>55</v>
      </c>
    </row>
    <row r="10" spans="1:13" x14ac:dyDescent="0.25">
      <c r="A10" s="1">
        <v>2009</v>
      </c>
      <c r="B10" t="s">
        <v>56</v>
      </c>
      <c r="C10" t="s">
        <v>14</v>
      </c>
      <c r="D10">
        <v>31</v>
      </c>
      <c r="E10" t="s">
        <v>29</v>
      </c>
      <c r="F10" t="s">
        <v>30</v>
      </c>
      <c r="G10">
        <v>580000</v>
      </c>
      <c r="H10" s="1">
        <v>9</v>
      </c>
      <c r="I10" s="1">
        <v>5</v>
      </c>
      <c r="J10" t="s">
        <v>17</v>
      </c>
      <c r="K10" t="s">
        <v>32</v>
      </c>
      <c r="L10" t="s">
        <v>19</v>
      </c>
      <c r="M10" t="s">
        <v>57</v>
      </c>
    </row>
    <row r="11" spans="1:13" x14ac:dyDescent="0.25">
      <c r="A11" s="1">
        <v>2010</v>
      </c>
      <c r="B11" t="s">
        <v>58</v>
      </c>
      <c r="C11" t="s">
        <v>22</v>
      </c>
      <c r="D11">
        <v>32</v>
      </c>
      <c r="E11" t="s">
        <v>36</v>
      </c>
      <c r="F11" t="s">
        <v>37</v>
      </c>
      <c r="G11">
        <v>630000</v>
      </c>
      <c r="H11" s="1">
        <v>10</v>
      </c>
      <c r="I11" s="1">
        <v>3</v>
      </c>
      <c r="J11" t="s">
        <v>25</v>
      </c>
      <c r="K11" t="s">
        <v>39</v>
      </c>
      <c r="L11" t="s">
        <v>19</v>
      </c>
      <c r="M11" t="s">
        <v>59</v>
      </c>
    </row>
    <row r="12" spans="1:13" x14ac:dyDescent="0.25">
      <c r="A12" s="1">
        <v>2011</v>
      </c>
      <c r="B12" t="s">
        <v>60</v>
      </c>
      <c r="C12" t="s">
        <v>14</v>
      </c>
      <c r="D12">
        <v>33</v>
      </c>
      <c r="E12" t="s">
        <v>43</v>
      </c>
      <c r="F12" t="s">
        <v>44</v>
      </c>
      <c r="G12">
        <v>180000</v>
      </c>
      <c r="H12" s="1">
        <v>1</v>
      </c>
      <c r="I12" s="1">
        <v>4</v>
      </c>
      <c r="J12" t="s">
        <v>31</v>
      </c>
      <c r="K12" t="s">
        <v>45</v>
      </c>
      <c r="L12" t="s">
        <v>33</v>
      </c>
      <c r="M12" t="s">
        <v>61</v>
      </c>
    </row>
    <row r="13" spans="1:13" x14ac:dyDescent="0.25">
      <c r="A13" s="1">
        <v>2012</v>
      </c>
      <c r="B13" t="s">
        <v>62</v>
      </c>
      <c r="C13" t="s">
        <v>22</v>
      </c>
      <c r="D13">
        <v>34</v>
      </c>
      <c r="E13" t="s">
        <v>48</v>
      </c>
      <c r="F13" t="s">
        <v>49</v>
      </c>
      <c r="G13">
        <v>230000</v>
      </c>
      <c r="H13" s="1">
        <v>2</v>
      </c>
      <c r="I13" s="1">
        <v>5</v>
      </c>
      <c r="J13" t="s">
        <v>38</v>
      </c>
      <c r="K13" t="s">
        <v>50</v>
      </c>
      <c r="L13" t="s">
        <v>40</v>
      </c>
      <c r="M13" t="s">
        <v>63</v>
      </c>
    </row>
    <row r="14" spans="1:13" x14ac:dyDescent="0.25">
      <c r="A14" s="1">
        <v>2013</v>
      </c>
      <c r="B14" t="s">
        <v>64</v>
      </c>
      <c r="C14" t="s">
        <v>14</v>
      </c>
      <c r="D14">
        <v>35</v>
      </c>
      <c r="E14" t="s">
        <v>15</v>
      </c>
      <c r="F14" t="s">
        <v>16</v>
      </c>
      <c r="G14">
        <v>280000</v>
      </c>
      <c r="H14" s="1">
        <v>3</v>
      </c>
      <c r="I14" s="1">
        <v>3</v>
      </c>
      <c r="J14" t="s">
        <v>17</v>
      </c>
      <c r="K14" t="s">
        <v>18</v>
      </c>
      <c r="L14" t="s">
        <v>19</v>
      </c>
      <c r="M14" t="s">
        <v>65</v>
      </c>
    </row>
    <row r="15" spans="1:13" x14ac:dyDescent="0.25">
      <c r="A15" s="1">
        <v>2014</v>
      </c>
      <c r="B15" t="s">
        <v>66</v>
      </c>
      <c r="C15" t="s">
        <v>22</v>
      </c>
      <c r="D15">
        <v>36</v>
      </c>
      <c r="E15" t="s">
        <v>23</v>
      </c>
      <c r="F15" t="s">
        <v>24</v>
      </c>
      <c r="G15">
        <v>330000</v>
      </c>
      <c r="H15" s="1">
        <v>4</v>
      </c>
      <c r="I15" s="1">
        <v>4</v>
      </c>
      <c r="J15" t="s">
        <v>25</v>
      </c>
      <c r="K15" t="s">
        <v>26</v>
      </c>
      <c r="L15" t="s">
        <v>19</v>
      </c>
      <c r="M15" t="s">
        <v>67</v>
      </c>
    </row>
    <row r="16" spans="1:13" x14ac:dyDescent="0.25">
      <c r="A16" s="1">
        <v>2015</v>
      </c>
      <c r="B16" t="s">
        <v>68</v>
      </c>
      <c r="C16" t="s">
        <v>14</v>
      </c>
      <c r="D16">
        <v>37</v>
      </c>
      <c r="E16" t="s">
        <v>29</v>
      </c>
      <c r="F16" t="s">
        <v>30</v>
      </c>
      <c r="G16">
        <v>380000</v>
      </c>
      <c r="H16" s="1">
        <v>5</v>
      </c>
      <c r="I16" s="1">
        <v>5</v>
      </c>
      <c r="J16" t="s">
        <v>31</v>
      </c>
      <c r="K16" t="s">
        <v>32</v>
      </c>
      <c r="L16" t="s">
        <v>33</v>
      </c>
      <c r="M16" t="s">
        <v>69</v>
      </c>
    </row>
    <row r="17" spans="1:13" x14ac:dyDescent="0.25">
      <c r="A17" s="1">
        <v>2016</v>
      </c>
      <c r="B17" t="s">
        <v>70</v>
      </c>
      <c r="C17" t="s">
        <v>22</v>
      </c>
      <c r="D17">
        <v>38</v>
      </c>
      <c r="E17" t="s">
        <v>36</v>
      </c>
      <c r="F17" t="s">
        <v>37</v>
      </c>
      <c r="G17">
        <v>430000</v>
      </c>
      <c r="H17" s="1">
        <v>6</v>
      </c>
      <c r="I17" s="1">
        <v>3</v>
      </c>
      <c r="J17" t="s">
        <v>38</v>
      </c>
      <c r="K17" t="s">
        <v>39</v>
      </c>
      <c r="L17" t="s">
        <v>40</v>
      </c>
      <c r="M17" t="s">
        <v>71</v>
      </c>
    </row>
    <row r="18" spans="1:13" x14ac:dyDescent="0.25">
      <c r="A18" s="1">
        <v>2017</v>
      </c>
      <c r="B18" t="s">
        <v>72</v>
      </c>
      <c r="C18" t="s">
        <v>14</v>
      </c>
      <c r="D18">
        <v>39</v>
      </c>
      <c r="E18" t="s">
        <v>43</v>
      </c>
      <c r="F18" t="s">
        <v>44</v>
      </c>
      <c r="G18">
        <v>480000</v>
      </c>
      <c r="H18" s="1">
        <v>7</v>
      </c>
      <c r="I18" s="1">
        <v>4</v>
      </c>
      <c r="J18" t="s">
        <v>17</v>
      </c>
      <c r="K18" t="s">
        <v>45</v>
      </c>
      <c r="L18" t="s">
        <v>19</v>
      </c>
      <c r="M18" t="s">
        <v>73</v>
      </c>
    </row>
    <row r="19" spans="1:13" x14ac:dyDescent="0.25">
      <c r="A19" s="1">
        <v>2018</v>
      </c>
      <c r="B19" t="s">
        <v>74</v>
      </c>
      <c r="C19" t="s">
        <v>22</v>
      </c>
      <c r="D19">
        <v>40</v>
      </c>
      <c r="E19" t="s">
        <v>48</v>
      </c>
      <c r="F19" t="s">
        <v>49</v>
      </c>
      <c r="G19">
        <v>530000</v>
      </c>
      <c r="H19" s="1">
        <v>8</v>
      </c>
      <c r="I19" s="1">
        <v>5</v>
      </c>
      <c r="J19" t="s">
        <v>25</v>
      </c>
      <c r="K19" t="s">
        <v>50</v>
      </c>
      <c r="L19" t="s">
        <v>19</v>
      </c>
      <c r="M19" t="s">
        <v>75</v>
      </c>
    </row>
    <row r="20" spans="1:13" x14ac:dyDescent="0.25">
      <c r="A20" s="1">
        <v>2019</v>
      </c>
      <c r="B20" t="s">
        <v>76</v>
      </c>
      <c r="C20" t="s">
        <v>14</v>
      </c>
      <c r="D20">
        <v>22</v>
      </c>
      <c r="E20" t="s">
        <v>15</v>
      </c>
      <c r="F20" t="s">
        <v>16</v>
      </c>
      <c r="G20">
        <v>580000</v>
      </c>
      <c r="H20" s="1">
        <v>9</v>
      </c>
      <c r="I20" s="1">
        <v>3</v>
      </c>
      <c r="J20" t="s">
        <v>31</v>
      </c>
      <c r="K20" t="s">
        <v>18</v>
      </c>
      <c r="L20" t="s">
        <v>33</v>
      </c>
      <c r="M20" t="s">
        <v>77</v>
      </c>
    </row>
    <row r="21" spans="1:13" x14ac:dyDescent="0.25">
      <c r="A21" s="1">
        <v>2020</v>
      </c>
      <c r="B21" t="s">
        <v>78</v>
      </c>
      <c r="C21" t="s">
        <v>22</v>
      </c>
      <c r="D21">
        <v>23</v>
      </c>
      <c r="E21" t="s">
        <v>23</v>
      </c>
      <c r="F21" t="s">
        <v>24</v>
      </c>
      <c r="G21">
        <v>630000</v>
      </c>
      <c r="H21" s="1">
        <v>10</v>
      </c>
      <c r="I21" s="1">
        <v>4</v>
      </c>
      <c r="J21" t="s">
        <v>38</v>
      </c>
      <c r="K21" t="s">
        <v>26</v>
      </c>
      <c r="L21" t="s">
        <v>40</v>
      </c>
      <c r="M21" t="s">
        <v>79</v>
      </c>
    </row>
    <row r="22" spans="1:13" x14ac:dyDescent="0.25">
      <c r="A22" s="1">
        <v>2021</v>
      </c>
      <c r="B22" t="s">
        <v>80</v>
      </c>
      <c r="C22" t="s">
        <v>14</v>
      </c>
      <c r="D22">
        <v>24</v>
      </c>
      <c r="E22" t="s">
        <v>29</v>
      </c>
      <c r="F22" t="s">
        <v>30</v>
      </c>
      <c r="G22">
        <v>180000</v>
      </c>
      <c r="H22" s="1">
        <v>1</v>
      </c>
      <c r="I22" s="1">
        <v>5</v>
      </c>
      <c r="J22" t="s">
        <v>17</v>
      </c>
      <c r="K22" t="s">
        <v>32</v>
      </c>
      <c r="L22" t="s">
        <v>19</v>
      </c>
      <c r="M22" t="s">
        <v>81</v>
      </c>
    </row>
    <row r="23" spans="1:13" x14ac:dyDescent="0.25">
      <c r="A23" s="1">
        <v>2022</v>
      </c>
      <c r="B23" t="s">
        <v>82</v>
      </c>
      <c r="C23" t="s">
        <v>22</v>
      </c>
      <c r="D23">
        <v>25</v>
      </c>
      <c r="E23" t="s">
        <v>36</v>
      </c>
      <c r="F23" t="s">
        <v>37</v>
      </c>
      <c r="G23">
        <v>230000</v>
      </c>
      <c r="H23" s="1">
        <v>2</v>
      </c>
      <c r="I23" s="1">
        <v>3</v>
      </c>
      <c r="J23" t="s">
        <v>25</v>
      </c>
      <c r="K23" t="s">
        <v>39</v>
      </c>
      <c r="L23" t="s">
        <v>19</v>
      </c>
      <c r="M23" t="s">
        <v>83</v>
      </c>
    </row>
    <row r="24" spans="1:13" x14ac:dyDescent="0.25">
      <c r="A24" s="1">
        <v>2023</v>
      </c>
      <c r="B24" t="s">
        <v>84</v>
      </c>
      <c r="C24" t="s">
        <v>14</v>
      </c>
      <c r="D24">
        <v>26</v>
      </c>
      <c r="E24" t="s">
        <v>43</v>
      </c>
      <c r="F24" t="s">
        <v>44</v>
      </c>
      <c r="G24">
        <v>280000</v>
      </c>
      <c r="H24" s="1">
        <v>3</v>
      </c>
      <c r="I24" s="1">
        <v>4</v>
      </c>
      <c r="J24" t="s">
        <v>31</v>
      </c>
      <c r="K24" t="s">
        <v>45</v>
      </c>
      <c r="L24" t="s">
        <v>33</v>
      </c>
      <c r="M24" t="s">
        <v>85</v>
      </c>
    </row>
    <row r="25" spans="1:13" x14ac:dyDescent="0.25">
      <c r="A25" s="1">
        <v>2024</v>
      </c>
      <c r="B25" t="s">
        <v>86</v>
      </c>
      <c r="C25" t="s">
        <v>22</v>
      </c>
      <c r="D25">
        <v>27</v>
      </c>
      <c r="E25" t="s">
        <v>48</v>
      </c>
      <c r="F25" t="s">
        <v>49</v>
      </c>
      <c r="G25">
        <v>330000</v>
      </c>
      <c r="H25" s="1">
        <v>4</v>
      </c>
      <c r="I25" s="1">
        <v>5</v>
      </c>
      <c r="J25" t="s">
        <v>38</v>
      </c>
      <c r="K25" t="s">
        <v>50</v>
      </c>
      <c r="L25" t="s">
        <v>40</v>
      </c>
      <c r="M25" t="s">
        <v>87</v>
      </c>
    </row>
    <row r="26" spans="1:13" x14ac:dyDescent="0.25">
      <c r="A26" s="1">
        <v>2025</v>
      </c>
      <c r="B26" t="s">
        <v>88</v>
      </c>
      <c r="C26" t="s">
        <v>14</v>
      </c>
      <c r="D26">
        <v>28</v>
      </c>
      <c r="E26" t="s">
        <v>15</v>
      </c>
      <c r="F26" t="s">
        <v>16</v>
      </c>
      <c r="G26">
        <v>380000</v>
      </c>
      <c r="H26" s="1">
        <v>5</v>
      </c>
      <c r="I26" s="1">
        <v>3</v>
      </c>
      <c r="J26" t="s">
        <v>17</v>
      </c>
      <c r="K26" t="s">
        <v>18</v>
      </c>
      <c r="L26" t="s">
        <v>19</v>
      </c>
      <c r="M26" t="s">
        <v>89</v>
      </c>
    </row>
    <row r="27" spans="1:13" x14ac:dyDescent="0.25">
      <c r="A27" s="1">
        <v>2026</v>
      </c>
      <c r="B27" t="s">
        <v>90</v>
      </c>
      <c r="C27" t="s">
        <v>22</v>
      </c>
      <c r="D27">
        <v>29</v>
      </c>
      <c r="E27" t="s">
        <v>23</v>
      </c>
      <c r="F27" t="s">
        <v>24</v>
      </c>
      <c r="G27">
        <v>430000</v>
      </c>
      <c r="H27" s="1">
        <v>6</v>
      </c>
      <c r="I27" s="1">
        <v>4</v>
      </c>
      <c r="J27" t="s">
        <v>25</v>
      </c>
      <c r="K27" t="s">
        <v>26</v>
      </c>
      <c r="L27" t="s">
        <v>19</v>
      </c>
      <c r="M27" t="s">
        <v>91</v>
      </c>
    </row>
    <row r="28" spans="1:13" x14ac:dyDescent="0.25">
      <c r="A28" s="1">
        <v>2027</v>
      </c>
      <c r="B28" t="s">
        <v>92</v>
      </c>
      <c r="C28" t="s">
        <v>14</v>
      </c>
      <c r="D28">
        <v>30</v>
      </c>
      <c r="E28" t="s">
        <v>29</v>
      </c>
      <c r="F28" t="s">
        <v>30</v>
      </c>
      <c r="G28">
        <v>480000</v>
      </c>
      <c r="H28" s="1">
        <v>7</v>
      </c>
      <c r="I28" s="1">
        <v>5</v>
      </c>
      <c r="J28" t="s">
        <v>31</v>
      </c>
      <c r="K28" t="s">
        <v>32</v>
      </c>
      <c r="L28" t="s">
        <v>33</v>
      </c>
      <c r="M28" t="s">
        <v>93</v>
      </c>
    </row>
    <row r="29" spans="1:13" x14ac:dyDescent="0.25">
      <c r="A29" s="1">
        <v>2028</v>
      </c>
      <c r="B29" t="s">
        <v>94</v>
      </c>
      <c r="C29" t="s">
        <v>22</v>
      </c>
      <c r="D29">
        <v>31</v>
      </c>
      <c r="E29" t="s">
        <v>36</v>
      </c>
      <c r="F29" t="s">
        <v>37</v>
      </c>
      <c r="G29">
        <v>530000</v>
      </c>
      <c r="H29" s="1">
        <v>8</v>
      </c>
      <c r="I29" s="1">
        <v>3</v>
      </c>
      <c r="J29" t="s">
        <v>38</v>
      </c>
      <c r="K29" t="s">
        <v>39</v>
      </c>
      <c r="L29" t="s">
        <v>40</v>
      </c>
      <c r="M29" t="s">
        <v>95</v>
      </c>
    </row>
    <row r="30" spans="1:13" x14ac:dyDescent="0.25">
      <c r="A30" s="1">
        <v>2029</v>
      </c>
      <c r="B30" t="s">
        <v>96</v>
      </c>
      <c r="C30" t="s">
        <v>14</v>
      </c>
      <c r="D30">
        <v>32</v>
      </c>
      <c r="E30" t="s">
        <v>43</v>
      </c>
      <c r="F30" t="s">
        <v>44</v>
      </c>
      <c r="G30">
        <v>580000</v>
      </c>
      <c r="H30" s="1">
        <v>9</v>
      </c>
      <c r="I30" s="1">
        <v>4</v>
      </c>
      <c r="J30" t="s">
        <v>17</v>
      </c>
      <c r="K30" t="s">
        <v>45</v>
      </c>
      <c r="L30" t="s">
        <v>19</v>
      </c>
      <c r="M30" t="s">
        <v>97</v>
      </c>
    </row>
    <row r="31" spans="1:13" x14ac:dyDescent="0.25">
      <c r="A31" s="1">
        <v>2030</v>
      </c>
      <c r="B31" t="s">
        <v>98</v>
      </c>
      <c r="C31" t="s">
        <v>22</v>
      </c>
      <c r="D31">
        <v>33</v>
      </c>
      <c r="E31" t="s">
        <v>48</v>
      </c>
      <c r="F31" t="s">
        <v>49</v>
      </c>
      <c r="G31">
        <v>630000</v>
      </c>
      <c r="H31" s="1">
        <v>10</v>
      </c>
      <c r="I31" s="1">
        <v>5</v>
      </c>
      <c r="J31" t="s">
        <v>25</v>
      </c>
      <c r="K31" t="s">
        <v>50</v>
      </c>
      <c r="L31" t="s">
        <v>19</v>
      </c>
      <c r="M31" t="s">
        <v>99</v>
      </c>
    </row>
    <row r="32" spans="1:13" x14ac:dyDescent="0.25">
      <c r="A32" s="1">
        <v>2031</v>
      </c>
      <c r="B32" t="s">
        <v>100</v>
      </c>
      <c r="C32" t="s">
        <v>14</v>
      </c>
      <c r="D32">
        <v>34</v>
      </c>
      <c r="E32" t="s">
        <v>15</v>
      </c>
      <c r="F32" t="s">
        <v>16</v>
      </c>
      <c r="G32">
        <v>180000</v>
      </c>
      <c r="H32" s="1">
        <v>1</v>
      </c>
      <c r="I32" s="1">
        <v>3</v>
      </c>
      <c r="J32" t="s">
        <v>31</v>
      </c>
      <c r="K32" t="s">
        <v>18</v>
      </c>
      <c r="L32" t="s">
        <v>33</v>
      </c>
      <c r="M32" t="s">
        <v>101</v>
      </c>
    </row>
    <row r="33" spans="1:13" x14ac:dyDescent="0.25">
      <c r="A33" s="1">
        <v>2032</v>
      </c>
      <c r="B33" t="s">
        <v>102</v>
      </c>
      <c r="C33" t="s">
        <v>22</v>
      </c>
      <c r="D33">
        <v>35</v>
      </c>
      <c r="E33" t="s">
        <v>23</v>
      </c>
      <c r="F33" t="s">
        <v>24</v>
      </c>
      <c r="G33">
        <v>230000</v>
      </c>
      <c r="H33" s="1">
        <v>2</v>
      </c>
      <c r="I33" s="1">
        <v>4</v>
      </c>
      <c r="J33" t="s">
        <v>38</v>
      </c>
      <c r="K33" t="s">
        <v>26</v>
      </c>
      <c r="L33" t="s">
        <v>40</v>
      </c>
      <c r="M33" t="s">
        <v>103</v>
      </c>
    </row>
    <row r="34" spans="1:13" x14ac:dyDescent="0.25">
      <c r="A34" s="1">
        <v>2033</v>
      </c>
      <c r="B34" t="s">
        <v>104</v>
      </c>
      <c r="C34" t="s">
        <v>14</v>
      </c>
      <c r="D34">
        <v>36</v>
      </c>
      <c r="E34" t="s">
        <v>29</v>
      </c>
      <c r="F34" t="s">
        <v>30</v>
      </c>
      <c r="G34">
        <v>280000</v>
      </c>
      <c r="H34" s="1">
        <v>3</v>
      </c>
      <c r="I34" s="1">
        <v>5</v>
      </c>
      <c r="J34" t="s">
        <v>17</v>
      </c>
      <c r="K34" t="s">
        <v>32</v>
      </c>
      <c r="L34" t="s">
        <v>19</v>
      </c>
      <c r="M34" t="s">
        <v>105</v>
      </c>
    </row>
    <row r="35" spans="1:13" x14ac:dyDescent="0.25">
      <c r="A35" s="1">
        <v>2034</v>
      </c>
      <c r="B35" t="s">
        <v>106</v>
      </c>
      <c r="C35" t="s">
        <v>22</v>
      </c>
      <c r="D35">
        <v>37</v>
      </c>
      <c r="E35" t="s">
        <v>36</v>
      </c>
      <c r="F35" t="s">
        <v>37</v>
      </c>
      <c r="G35">
        <v>330000</v>
      </c>
      <c r="H35" s="1">
        <v>4</v>
      </c>
      <c r="I35" s="1">
        <v>3</v>
      </c>
      <c r="J35" t="s">
        <v>25</v>
      </c>
      <c r="K35" t="s">
        <v>39</v>
      </c>
      <c r="L35" t="s">
        <v>19</v>
      </c>
      <c r="M35" t="s">
        <v>107</v>
      </c>
    </row>
    <row r="36" spans="1:13" x14ac:dyDescent="0.25">
      <c r="A36" s="1">
        <v>2035</v>
      </c>
      <c r="B36" t="s">
        <v>108</v>
      </c>
      <c r="C36" t="s">
        <v>14</v>
      </c>
      <c r="D36">
        <v>38</v>
      </c>
      <c r="E36" t="s">
        <v>43</v>
      </c>
      <c r="F36" t="s">
        <v>44</v>
      </c>
      <c r="G36">
        <v>380000</v>
      </c>
      <c r="H36" s="1">
        <v>5</v>
      </c>
      <c r="I36" s="1">
        <v>4</v>
      </c>
      <c r="J36" t="s">
        <v>31</v>
      </c>
      <c r="K36" t="s">
        <v>45</v>
      </c>
      <c r="L36" t="s">
        <v>33</v>
      </c>
      <c r="M36" t="s">
        <v>109</v>
      </c>
    </row>
    <row r="37" spans="1:13" x14ac:dyDescent="0.25">
      <c r="A37" s="1">
        <v>2036</v>
      </c>
      <c r="B37" t="s">
        <v>110</v>
      </c>
      <c r="C37" t="s">
        <v>22</v>
      </c>
      <c r="D37">
        <v>39</v>
      </c>
      <c r="E37" t="s">
        <v>48</v>
      </c>
      <c r="F37" t="s">
        <v>49</v>
      </c>
      <c r="G37">
        <v>430000</v>
      </c>
      <c r="H37" s="1">
        <v>6</v>
      </c>
      <c r="I37" s="1">
        <v>5</v>
      </c>
      <c r="J37" t="s">
        <v>38</v>
      </c>
      <c r="K37" t="s">
        <v>50</v>
      </c>
      <c r="L37" t="s">
        <v>40</v>
      </c>
      <c r="M37" t="s">
        <v>111</v>
      </c>
    </row>
    <row r="38" spans="1:13" x14ac:dyDescent="0.25">
      <c r="A38" s="1">
        <v>2037</v>
      </c>
      <c r="B38" t="s">
        <v>112</v>
      </c>
      <c r="C38" t="s">
        <v>14</v>
      </c>
      <c r="D38">
        <v>40</v>
      </c>
      <c r="E38" t="s">
        <v>15</v>
      </c>
      <c r="F38" t="s">
        <v>16</v>
      </c>
      <c r="G38">
        <v>480000</v>
      </c>
      <c r="H38" s="1">
        <v>7</v>
      </c>
      <c r="I38" s="1">
        <v>3</v>
      </c>
      <c r="J38" t="s">
        <v>17</v>
      </c>
      <c r="K38" t="s">
        <v>18</v>
      </c>
      <c r="L38" t="s">
        <v>19</v>
      </c>
      <c r="M38" t="s">
        <v>113</v>
      </c>
    </row>
    <row r="39" spans="1:13" x14ac:dyDescent="0.25">
      <c r="A39" s="1">
        <v>2038</v>
      </c>
      <c r="B39" t="s">
        <v>114</v>
      </c>
      <c r="C39" t="s">
        <v>22</v>
      </c>
      <c r="D39">
        <v>22</v>
      </c>
      <c r="E39" t="s">
        <v>23</v>
      </c>
      <c r="F39" t="s">
        <v>24</v>
      </c>
      <c r="G39">
        <v>530000</v>
      </c>
      <c r="H39" s="1">
        <v>8</v>
      </c>
      <c r="I39" s="1">
        <v>4</v>
      </c>
      <c r="J39" t="s">
        <v>25</v>
      </c>
      <c r="K39" t="s">
        <v>26</v>
      </c>
      <c r="L39" t="s">
        <v>19</v>
      </c>
      <c r="M39" t="s">
        <v>115</v>
      </c>
    </row>
    <row r="40" spans="1:13" x14ac:dyDescent="0.25">
      <c r="A40" s="1">
        <v>2039</v>
      </c>
      <c r="B40" t="s">
        <v>116</v>
      </c>
      <c r="C40" t="s">
        <v>14</v>
      </c>
      <c r="D40">
        <v>23</v>
      </c>
      <c r="E40" t="s">
        <v>29</v>
      </c>
      <c r="F40" t="s">
        <v>30</v>
      </c>
      <c r="G40">
        <v>580000</v>
      </c>
      <c r="H40" s="1">
        <v>9</v>
      </c>
      <c r="I40" s="1">
        <v>5</v>
      </c>
      <c r="J40" t="s">
        <v>31</v>
      </c>
      <c r="K40" t="s">
        <v>32</v>
      </c>
      <c r="L40" t="s">
        <v>33</v>
      </c>
      <c r="M40" t="s">
        <v>117</v>
      </c>
    </row>
    <row r="41" spans="1:13" x14ac:dyDescent="0.25">
      <c r="A41" s="1">
        <v>2040</v>
      </c>
      <c r="B41" t="s">
        <v>118</v>
      </c>
      <c r="C41" t="s">
        <v>22</v>
      </c>
      <c r="D41">
        <v>24</v>
      </c>
      <c r="E41" t="s">
        <v>36</v>
      </c>
      <c r="F41" t="s">
        <v>37</v>
      </c>
      <c r="G41">
        <v>630000</v>
      </c>
      <c r="H41" s="1">
        <v>10</v>
      </c>
      <c r="I41" s="1">
        <v>3</v>
      </c>
      <c r="J41" t="s">
        <v>38</v>
      </c>
      <c r="K41" t="s">
        <v>39</v>
      </c>
      <c r="L41" t="s">
        <v>40</v>
      </c>
      <c r="M41" t="s">
        <v>119</v>
      </c>
    </row>
    <row r="42" spans="1:13" x14ac:dyDescent="0.25">
      <c r="A42" s="1">
        <v>2041</v>
      </c>
      <c r="B42" t="s">
        <v>120</v>
      </c>
      <c r="C42" t="s">
        <v>14</v>
      </c>
      <c r="D42">
        <v>25</v>
      </c>
      <c r="E42" t="s">
        <v>43</v>
      </c>
      <c r="F42" t="s">
        <v>44</v>
      </c>
      <c r="G42">
        <v>180000</v>
      </c>
      <c r="H42" s="1">
        <v>1</v>
      </c>
      <c r="I42" s="1">
        <v>4</v>
      </c>
      <c r="J42" t="s">
        <v>17</v>
      </c>
      <c r="K42" t="s">
        <v>45</v>
      </c>
      <c r="L42" t="s">
        <v>19</v>
      </c>
      <c r="M42" t="s">
        <v>121</v>
      </c>
    </row>
    <row r="43" spans="1:13" x14ac:dyDescent="0.25">
      <c r="A43" s="1">
        <v>2042</v>
      </c>
      <c r="B43" t="s">
        <v>122</v>
      </c>
      <c r="C43" t="s">
        <v>22</v>
      </c>
      <c r="D43">
        <v>26</v>
      </c>
      <c r="E43" t="s">
        <v>48</v>
      </c>
      <c r="F43" t="s">
        <v>49</v>
      </c>
      <c r="G43">
        <v>230000</v>
      </c>
      <c r="H43" s="1">
        <v>2</v>
      </c>
      <c r="I43" s="1">
        <v>5</v>
      </c>
      <c r="J43" t="s">
        <v>25</v>
      </c>
      <c r="K43" t="s">
        <v>50</v>
      </c>
      <c r="L43" t="s">
        <v>19</v>
      </c>
      <c r="M43" t="s">
        <v>123</v>
      </c>
    </row>
    <row r="44" spans="1:13" x14ac:dyDescent="0.25">
      <c r="A44" s="1">
        <v>2043</v>
      </c>
      <c r="B44" t="s">
        <v>124</v>
      </c>
      <c r="C44" t="s">
        <v>14</v>
      </c>
      <c r="D44">
        <v>27</v>
      </c>
      <c r="E44" t="s">
        <v>15</v>
      </c>
      <c r="F44" t="s">
        <v>16</v>
      </c>
      <c r="G44">
        <v>280000</v>
      </c>
      <c r="H44" s="1">
        <v>3</v>
      </c>
      <c r="I44" s="1">
        <v>3</v>
      </c>
      <c r="J44" t="s">
        <v>31</v>
      </c>
      <c r="K44" t="s">
        <v>18</v>
      </c>
      <c r="L44" t="s">
        <v>33</v>
      </c>
      <c r="M44" t="s">
        <v>125</v>
      </c>
    </row>
    <row r="45" spans="1:13" x14ac:dyDescent="0.25">
      <c r="A45" s="1">
        <v>2044</v>
      </c>
      <c r="B45" t="s">
        <v>126</v>
      </c>
      <c r="C45" t="s">
        <v>22</v>
      </c>
      <c r="D45">
        <v>28</v>
      </c>
      <c r="E45" t="s">
        <v>23</v>
      </c>
      <c r="F45" t="s">
        <v>24</v>
      </c>
      <c r="G45">
        <v>330000</v>
      </c>
      <c r="H45" s="1">
        <v>4</v>
      </c>
      <c r="I45" s="1">
        <v>4</v>
      </c>
      <c r="J45" t="s">
        <v>38</v>
      </c>
      <c r="K45" t="s">
        <v>26</v>
      </c>
      <c r="L45" t="s">
        <v>40</v>
      </c>
      <c r="M45" t="s">
        <v>127</v>
      </c>
    </row>
    <row r="46" spans="1:13" x14ac:dyDescent="0.25">
      <c r="A46" s="1">
        <v>2045</v>
      </c>
      <c r="B46" t="s">
        <v>128</v>
      </c>
      <c r="C46" t="s">
        <v>14</v>
      </c>
      <c r="D46">
        <v>29</v>
      </c>
      <c r="E46" t="s">
        <v>29</v>
      </c>
      <c r="F46" t="s">
        <v>30</v>
      </c>
      <c r="G46">
        <v>380000</v>
      </c>
      <c r="H46" s="1">
        <v>5</v>
      </c>
      <c r="I46" s="1">
        <v>5</v>
      </c>
      <c r="J46" t="s">
        <v>17</v>
      </c>
      <c r="K46" t="s">
        <v>32</v>
      </c>
      <c r="L46" t="s">
        <v>19</v>
      </c>
      <c r="M46" t="s">
        <v>129</v>
      </c>
    </row>
    <row r="47" spans="1:13" x14ac:dyDescent="0.25">
      <c r="A47" s="1">
        <v>2046</v>
      </c>
      <c r="B47" t="s">
        <v>130</v>
      </c>
      <c r="C47" t="s">
        <v>22</v>
      </c>
      <c r="D47">
        <v>30</v>
      </c>
      <c r="E47" t="s">
        <v>36</v>
      </c>
      <c r="F47" t="s">
        <v>37</v>
      </c>
      <c r="G47">
        <v>430000</v>
      </c>
      <c r="H47" s="1">
        <v>6</v>
      </c>
      <c r="I47" s="1">
        <v>3</v>
      </c>
      <c r="J47" t="s">
        <v>25</v>
      </c>
      <c r="K47" t="s">
        <v>39</v>
      </c>
      <c r="L47" t="s">
        <v>19</v>
      </c>
      <c r="M47" t="s">
        <v>131</v>
      </c>
    </row>
    <row r="48" spans="1:13" x14ac:dyDescent="0.25">
      <c r="A48" s="1">
        <v>2047</v>
      </c>
      <c r="B48" t="s">
        <v>132</v>
      </c>
      <c r="C48" t="s">
        <v>14</v>
      </c>
      <c r="D48">
        <v>31</v>
      </c>
      <c r="E48" t="s">
        <v>43</v>
      </c>
      <c r="F48" t="s">
        <v>44</v>
      </c>
      <c r="G48">
        <v>480000</v>
      </c>
      <c r="H48" s="1">
        <v>7</v>
      </c>
      <c r="I48" s="1">
        <v>4</v>
      </c>
      <c r="J48" t="s">
        <v>31</v>
      </c>
      <c r="K48" t="s">
        <v>45</v>
      </c>
      <c r="L48" t="s">
        <v>33</v>
      </c>
      <c r="M48" t="s">
        <v>133</v>
      </c>
    </row>
    <row r="49" spans="1:13" x14ac:dyDescent="0.25">
      <c r="A49" s="1">
        <v>2048</v>
      </c>
      <c r="B49" t="s">
        <v>134</v>
      </c>
      <c r="C49" t="s">
        <v>22</v>
      </c>
      <c r="D49">
        <v>32</v>
      </c>
      <c r="E49" t="s">
        <v>48</v>
      </c>
      <c r="F49" t="s">
        <v>49</v>
      </c>
      <c r="G49">
        <v>530000</v>
      </c>
      <c r="H49" s="1">
        <v>8</v>
      </c>
      <c r="I49" s="1">
        <v>5</v>
      </c>
      <c r="J49" t="s">
        <v>38</v>
      </c>
      <c r="K49" t="s">
        <v>50</v>
      </c>
      <c r="L49" t="s">
        <v>40</v>
      </c>
      <c r="M49" t="s">
        <v>135</v>
      </c>
    </row>
    <row r="50" spans="1:13" x14ac:dyDescent="0.25">
      <c r="A50" s="1">
        <v>2049</v>
      </c>
      <c r="B50" t="s">
        <v>136</v>
      </c>
      <c r="C50" t="s">
        <v>14</v>
      </c>
      <c r="D50">
        <v>33</v>
      </c>
      <c r="E50" t="s">
        <v>15</v>
      </c>
      <c r="F50" t="s">
        <v>16</v>
      </c>
      <c r="G50">
        <v>580000</v>
      </c>
      <c r="H50" s="1">
        <v>9</v>
      </c>
      <c r="I50" s="1">
        <v>3</v>
      </c>
      <c r="J50" t="s">
        <v>17</v>
      </c>
      <c r="K50" t="s">
        <v>18</v>
      </c>
      <c r="L50" t="s">
        <v>19</v>
      </c>
      <c r="M50" t="s">
        <v>137</v>
      </c>
    </row>
    <row r="51" spans="1:13" x14ac:dyDescent="0.25">
      <c r="A51" s="1">
        <v>2050</v>
      </c>
      <c r="B51" t="s">
        <v>138</v>
      </c>
      <c r="C51" t="s">
        <v>22</v>
      </c>
      <c r="D51">
        <v>34</v>
      </c>
      <c r="E51" t="s">
        <v>23</v>
      </c>
      <c r="F51" t="s">
        <v>24</v>
      </c>
      <c r="G51">
        <v>630000</v>
      </c>
      <c r="H51" s="1">
        <v>10</v>
      </c>
      <c r="I51" s="1">
        <v>4</v>
      </c>
      <c r="J51" t="s">
        <v>25</v>
      </c>
      <c r="K51" t="s">
        <v>26</v>
      </c>
      <c r="L51" t="s">
        <v>19</v>
      </c>
      <c r="M51" t="s">
        <v>139</v>
      </c>
    </row>
    <row r="55" spans="1:13" x14ac:dyDescent="0.25">
      <c r="A55" s="4" t="s">
        <v>147</v>
      </c>
      <c r="D55">
        <f>COUNTA(A2:A51)</f>
        <v>50</v>
      </c>
    </row>
    <row r="56" spans="1:13" x14ac:dyDescent="0.25">
      <c r="A56" s="4" t="s">
        <v>148</v>
      </c>
      <c r="D56">
        <f>AVERAGE(G2:G51)</f>
        <v>405000</v>
      </c>
    </row>
    <row r="57" spans="1:13" x14ac:dyDescent="0.25">
      <c r="A57" s="4" t="s">
        <v>140</v>
      </c>
      <c r="D57">
        <f>MAX(G2:G51)</f>
        <v>630000</v>
      </c>
    </row>
    <row r="58" spans="1:13" x14ac:dyDescent="0.25">
      <c r="A58" s="4" t="s">
        <v>141</v>
      </c>
      <c r="D58">
        <f>MIN(G2:G51)</f>
        <v>180000</v>
      </c>
    </row>
    <row r="59" spans="1:13" x14ac:dyDescent="0.25">
      <c r="A59" s="4" t="s">
        <v>142</v>
      </c>
      <c r="D59">
        <f>AVERAGE(D2:D51)</f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madufor christian</cp:lastModifiedBy>
  <dcterms:created xsi:type="dcterms:W3CDTF">2026-07-12T22:08:39Z</dcterms:created>
  <dcterms:modified xsi:type="dcterms:W3CDTF">2026-07-13T20:18:06Z</dcterms:modified>
</cp:coreProperties>
</file>